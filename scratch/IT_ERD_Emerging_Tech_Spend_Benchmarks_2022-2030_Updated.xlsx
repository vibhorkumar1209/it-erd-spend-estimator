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T-ERD Spend Estimate" sheetId="1" state="visible" r:id="rId3"/>
    <sheet name="ERD Spend Split" sheetId="2" state="visible" r:id="rId4"/>
    <sheet name="Emerging Tech Spend" sheetId="3" state="visible" r:id="rId5"/>
    <sheet name="Sources &amp; Methodolog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<sst xmlns="http://schemas.openxmlformats.org/spreadsheetml/2006/main" count="219" uniqueCount="150">
  <si>
    <t xml:space="preserve">Industry</t>
  </si>
  <si>
    <t xml:space="preserve">Justification Summary</t>
  </si>
  <si>
    <t xml:space="preserve">Aerospace &amp; Defence</t>
  </si>
  <si>
    <t xml:space="preserve">Gartner ITKMD/Avasant medians ~2.5-3.5% for A&amp;D primes; digital thread, MBSE, and classified-cloud programs lift intensity through 2030.</t>
  </si>
  <si>
    <t xml:space="preserve">Company-funded R&amp;D ~3-4% plus customer-funded engineering (EU R&amp;D Scoreboard; Airbus ~5%, Boeing ~3.5%); AI avionics, autonomy, and digital twins.</t>
  </si>
  <si>
    <t xml:space="preserve">Agriculture</t>
  </si>
  <si>
    <t xml:space="preserve">Among the lowest IT-intensity sectors (Avasant &lt;1.5% median); precision-ag IoT and farm-management SaaS drive gradual uplift.</t>
  </si>
  <si>
    <t xml:space="preserve">Automotive</t>
  </si>
  <si>
    <t xml:space="preserve">OEM R&amp;D intensity ~4.7-5.5% (EU R&amp;D Scoreboard; VW ~7%, Toyota ~3.6%); EV, ADAS/SDV, and battery engineering push toward ~6.5% by 2030.</t>
  </si>
  <si>
    <t xml:space="preserve">OEM IT spend ~2.5-3% of revenue (Gartner ITKMD); software-defined vehicle, connected services, and AI manufacturing push toward ~3.7% by 2030.</t>
  </si>
  <si>
    <t xml:space="preserve">Construction</t>
  </si>
  <si>
    <t xml:space="preserve">Construction R&amp;D intensity is structurally low (&lt;1%, EU Scoreboard); modular construction, materials, and robotics pilots.</t>
  </si>
  <si>
    <t xml:space="preserve">Business Services / Professional Services</t>
  </si>
  <si>
    <t xml:space="preserve">People-centric sector; Avasant professional services median ~5-6%; GenAI copilots and knowledge automation sustain growth.</t>
  </si>
  <si>
    <t xml:space="preserve">Energy (Oil &amp; Gas)</t>
  </si>
  <si>
    <t xml:space="preserve">O&amp;G majors invest ~0.3-0.6% of revenue in R&amp;D (company filings: Shell, ExxonMobil &lt;0.5%); CCUS and low-carbon tech sustain modest growth.</t>
  </si>
  <si>
    <t xml:space="preserve">Avasant construction/trade services median ~1.5-2%; BIM, project-controls SaaS, and field mobility lift spend slowly off a low base.</t>
  </si>
  <si>
    <t xml:space="preserve">Healthcare Providers</t>
  </si>
  <si>
    <t xml:space="preserve">Provider R&amp;D concentrated in academic medical centers (~1-2% of operating revenue); clinical AI, trials infrastructure, and care-model innovation.</t>
  </si>
  <si>
    <t xml:space="preserve">Consumer Products</t>
  </si>
  <si>
    <t xml:space="preserve">CPG IT spend ~1.8-2.5% (Gartner ITKMD); digital shelf, RGM analytics, and supply-chain visibility platforms scale.</t>
  </si>
  <si>
    <t xml:space="preserve">Industrial Manufacturing – Discrete</t>
  </si>
  <si>
    <t xml:space="preserve">Machinery/industrial equipment R&amp;D ~3-4.5% (EU Scoreboard industrial engineering); electrification, additive mfg, and embedded software.</t>
  </si>
  <si>
    <t xml:space="preserve">Consumer Services</t>
  </si>
  <si>
    <t xml:space="preserve">Service-sector median ~3-4%; CX platforms, omnichannel personalization, and workforce-management tech adoption.</t>
  </si>
  <si>
    <t xml:space="preserve">Industrial Manufacturing – Process</t>
  </si>
  <si>
    <t xml:space="preserve">Chemicals/process R&amp;D ~1.5-2.5% (BASF ~2.6%, commodity players ~1%); process intensification, sustainability, and advanced materials.</t>
  </si>
  <si>
    <t xml:space="preserve">Ecommerce</t>
  </si>
  <si>
    <t xml:space="preserve">Digital-native retail runs 5-8%+ of revenue on tech (Flexera/Avasant online-retail chapter); AI search, recsys, and logistics optimization compound.</t>
  </si>
  <si>
    <t xml:space="preserve">IT Hardware</t>
  </si>
  <si>
    <t xml:space="preserve">ICT hardware R&amp;D intensity ~8% (EU R&amp;D Scoreboard); semiconductors 15-20% (TSMC ~8%, NVIDIA ~20%+); AI silicon and edge drive growth.</t>
  </si>
  <si>
    <t xml:space="preserve">Education</t>
  </si>
  <si>
    <t xml:space="preserve">Higher-ed IT ~4-6% of institutional budget (EDUCAUSE/Avasant); LMS modernization, AI tutoring, and hybrid-learning infrastructure.</t>
  </si>
  <si>
    <t xml:space="preserve">IT Services</t>
  </si>
  <si>
    <t xml:space="preserve">IT services firms invest ~1-3% in platforms/IP (Accenture, TCS ~1-1.5% reported R&amp;D plus capitalized platform engineering); GenAI assets accelerate.</t>
  </si>
  <si>
    <t xml:space="preserve">Lowest-quartile IT intensity (~1-1.5%, Gartner ITKMD); digital oilfield, predictive maintenance, and ESG reporting drive modest growth.</t>
  </si>
  <si>
    <t xml:space="preserve">Medical Devices</t>
  </si>
  <si>
    <t xml:space="preserve">MedTech R&amp;D ~7-9% of revenue (Medtronic ~8%, Boston Scientific ~10%); AI diagnostics, wearables, and software-as-medical-device.</t>
  </si>
  <si>
    <t xml:space="preserve">Financial Markets / Capital Markets / Investments</t>
  </si>
  <si>
    <t xml:space="preserve">Highest IT intensity of any sector (Deloitte ~11%+ for securities/investments; Avasant FS upper quartile 11.4%); AI trading, risk engines, data modernization.</t>
  </si>
  <si>
    <t xml:space="preserve">Mineral / Mining / Natural Resources</t>
  </si>
  <si>
    <t xml:space="preserve">Mining R&amp;D intensity ~0.2-0.5% (Rio Tinto, BHP filings); automation, leaching tech, and decarbonization pilots off a very low base.</t>
  </si>
  <si>
    <t xml:space="preserve">Healthcare Insurance (Payers)</t>
  </si>
  <si>
    <t xml:space="preserve">Payer IT ~4-5% of revenue (Gartner ITKMD); AI claims automation, interoperability mandates, and member digital engagement.</t>
  </si>
  <si>
    <t xml:space="preserve">Pharmaceuticals / Life Sciences</t>
  </si>
  <si>
    <t xml:space="preserve">Highest R&amp;D intensity of any sector: ~15.4% (EU R&amp;D Scoreboard); big pharma 17-25% (Merck ~25%, Roche ~19%); AI discovery and biologics.</t>
  </si>
  <si>
    <t xml:space="preserve">Provider IT 3.5-5% of operating revenue (Avasant hospitals chapter; HIMSS); EHR optimization, AI diagnostics, virtual care expansion.</t>
  </si>
  <si>
    <t xml:space="preserve">Telecommunications</t>
  </si>
  <si>
    <t xml:space="preserve">Telecom operators invest ~1-2% in R&amp;D (equipment vendors run 10-15%: Nokia ~17%, Ericsson ~18% — excluded here); 6G research and network AI.</t>
  </si>
  <si>
    <t xml:space="preserve">High Tech / Technology</t>
  </si>
  <si>
    <t xml:space="preserve">Tech companies spend 8-12%+ on internal IT/platforms; GenAI infrastructure and AI-first product development push intensity sharply higher.</t>
  </si>
  <si>
    <t xml:space="preserve">Transportation</t>
  </si>
  <si>
    <t xml:space="preserve">Transport/logistics operators R&amp;D &lt;1-1.5%; electrification, autonomous-fleet pilots, and sustainable fuels engineering.</t>
  </si>
  <si>
    <t xml:space="preserve">Hospitality / Travel</t>
  </si>
  <si>
    <t xml:space="preserve">Travel IT ~2.5-3.5% (airlines higher); AI revenue management, contactless ops, and personalization investment recovery post-2023.</t>
  </si>
  <si>
    <t xml:space="preserve">Avasant discrete mfg median ~2.1% (1.4-3.2% IQR); smart factory, MES/IIoT, and digital twin programs scale through 2030.</t>
  </si>
  <si>
    <t xml:space="preserve">Process mfg median ~1.5-2% (Gartner ITKMD); asset performance management and OT/IT convergence with conservative budgets.</t>
  </si>
  <si>
    <t xml:space="preserve">Note: ER&amp;D spend as % of revenue. Anchored to EU Industrial R&amp;D Scoreboard 2024/25, Zinnov ER&amp;D/Digital Engineering studies &amp; company filings; 2026–2030 projected (ER&amp;D CAGR ~9–13% per Zinnov vs revenue ~4.5%).</t>
  </si>
  <si>
    <t xml:space="preserve">Hardware OEM internal IT/digital ~5-6% of revenue; AI-era supply chain, EDA cloud, and as-a-service business model platforms.</t>
  </si>
  <si>
    <t xml:space="preserve">Internal technology spend of IT services firms ~5-7% of revenue; AI-led delivery platforms, internal GenAI tooling, and automation IP.</t>
  </si>
  <si>
    <t xml:space="preserve">Life Insurance</t>
  </si>
  <si>
    <t xml:space="preserve">Insurance IT ~4-5% (Deloitte ~4.3% for insurance); core modernization, predictive underwriting, and agent digital enablement.</t>
  </si>
  <si>
    <t xml:space="preserve">Media &amp; Entertainment</t>
  </si>
  <si>
    <t xml:space="preserve">M&amp;E IT/tech ~5-6% of revenue; streaming infrastructure, AI content tooling, and ad-tech modernization.</t>
  </si>
  <si>
    <t xml:space="preserve">MedTech IT ~3.5-4.5%; connected-device platforms (IoMT), regulatory data systems, and digital-health integration.</t>
  </si>
  <si>
    <t xml:space="preserve">Bottom-quartile intensity (~1-1.5%); autonomous haulage, remote operations centers, and environmental monitoring lift spend gradually.</t>
  </si>
  <si>
    <t xml:space="preserve">Non Profit / NGO</t>
  </si>
  <si>
    <t xml:space="preserve">Avasant nonprofit median ~2.5-3.5%; cloud CRM, fundraising automation, and cybersecurity catch-up investment.</t>
  </si>
  <si>
    <t xml:space="preserve">P&amp;C Insurance</t>
  </si>
  <si>
    <t xml:space="preserve">P&amp;C IT ~3.5-4.5% (Deloitte/Avasant insurance); telematics, GenAI claims, and CAT-modeling platforms expand.</t>
  </si>
  <si>
    <t xml:space="preserve">Pharma IT (excl. R&amp;D) ~3-4% (Gartner ITKMD); clinical data platforms, AI discovery infrastructure, and commercial analytics.</t>
  </si>
  <si>
    <t xml:space="preserve">Public Sector &amp; Government</t>
  </si>
  <si>
    <t xml:space="preserve">Government IT ~5-7% of operating budget (Gartner/NASCIO); citizen digital services, cyber mandates, and legacy modernization.</t>
  </si>
  <si>
    <t xml:space="preserve">Real Estate</t>
  </si>
  <si>
    <t xml:space="preserve">CRE IT ~2-2.5% (Avasant commercial real estate); proptech, smart-building IoT, and portfolio analytics adoption.</t>
  </si>
  <si>
    <t xml:space="preserve">Reinsurance</t>
  </si>
  <si>
    <t xml:space="preserve">Reinsurance IT ~4-5%; catastrophe modeling, AI risk analytics, and platform modernization sustain above-insurance-average intensity.</t>
  </si>
  <si>
    <t xml:space="preserve">Retail</t>
  </si>
  <si>
    <t xml:space="preserve">Brick-and-mortar retail ~2-2.5% (Gartner ITKMD); omnichannel, unified commerce, and store automation drive steady uplift.</t>
  </si>
  <si>
    <t xml:space="preserve">Retail Banking / Commercial Banking</t>
  </si>
  <si>
    <t xml:space="preserve">Banking IT 7-10% of revenue (Avasant FS chapter; Deloitte ~7.2%); AI risk/compliance, core-to-cloud, and digital channels compound.</t>
  </si>
  <si>
    <t xml:space="preserve">Software</t>
  </si>
  <si>
    <t xml:space="preserve">Software firms spend ~10-12%+ of revenue on internal tech/R&amp;D-adjacent IT (EU R&amp;D Scoreboard software intensity ~10.8%); GenAI compute accelerates.</t>
  </si>
  <si>
    <t xml:space="preserve">Supply Chain / Logistics</t>
  </si>
  <si>
    <t xml:space="preserve">Avasant logistics chapter median ~2-2.5%; AI route optimization, control towers, and warehouse robotics integration.</t>
  </si>
  <si>
    <t xml:space="preserve">Telco IT (BSS/OSS, internal) ~4-5% of revenue; autonomous networks, AI ops, and B2B platform monetization.</t>
  </si>
  <si>
    <t xml:space="preserve">Transport operators ~2-3%; fleet telematics, electrification systems, and digital ticketing/booking modernization.</t>
  </si>
  <si>
    <t xml:space="preserve">Utilities</t>
  </si>
  <si>
    <t xml:space="preserve">Utility IT ~2.5-3.5% (Gartner ITKMD); smart grid, DERMS, and AMI data platforms under regulatory cost scrutiny.</t>
  </si>
  <si>
    <t xml:space="preserve">Wholesale / Distribution</t>
  </si>
  <si>
    <t xml:space="preserve">Lowest IT intensity of all sectors (~0.9-1.4%, Avasant wholesale chapter); ERP modernization and e-commerce enablement off a thin base.</t>
  </si>
  <si>
    <t xml:space="preserve">Note: IT spend as % of revenue (median benchmark view). 2022–2025 anchored to Gartner ITKMD, Avasant Computer Economics ISS, Deloitte Insights &amp; Flexera medians; 2026–2030 projected (IT spend CAGR ~8–11% vs nominal revenue ~4.5%). See 'Sources &amp; Methodology'.</t>
  </si>
  <si>
    <t xml:space="preserve">AI/ML &amp; Data Engineering</t>
  </si>
  <si>
    <t xml:space="preserve">Compliance &amp; Certification</t>
  </si>
  <si>
    <t xml:space="preserve">Design &amp; Simulation</t>
  </si>
  <si>
    <t xml:space="preserve">Digital Engineering &amp; IoT</t>
  </si>
  <si>
    <t xml:space="preserve">Mechanical &amp; Hardware Design</t>
  </si>
  <si>
    <t xml:space="preserve">Platform Engineering</t>
  </si>
  <si>
    <t xml:space="preserve">Product Engineering</t>
  </si>
  <si>
    <t xml:space="preserve">Program Management &amp; PMO</t>
  </si>
  <si>
    <t xml:space="preserve">Prototyping &amp; Testing</t>
  </si>
  <si>
    <t xml:space="preserve">Software Engineering</t>
  </si>
  <si>
    <t xml:space="preserve">Sustenance Engineering</t>
  </si>
  <si>
    <t xml:space="preserve">Systems Engineering</t>
  </si>
  <si>
    <t xml:space="preserve">Technical Documentation</t>
  </si>
  <si>
    <t xml:space="preserve">Others</t>
  </si>
  <si>
    <t xml:space="preserve">Row Total</t>
  </si>
  <si>
    <t xml:space="preserve">AI (ML/DL/GenAI &amp; Safety)</t>
  </si>
  <si>
    <t xml:space="preserve">Blockchain</t>
  </si>
  <si>
    <t xml:space="preserve">Cloud &amp; Edge</t>
  </si>
  <si>
    <t xml:space="preserve">Connectivity (5G/6G)</t>
  </si>
  <si>
    <t xml:space="preserve">Quantum Computing</t>
  </si>
  <si>
    <t xml:space="preserve">Robotics &amp; Automation</t>
  </si>
  <si>
    <t xml:space="preserve">Spatial (VR/AR)</t>
  </si>
  <si>
    <t xml:space="preserve">Big Data &amp; Analytics</t>
  </si>
  <si>
    <t xml:space="preserve">Note: shares of emerging-tech allocation (% of tech budget), 2025–26 view. AI shares uplifted per Gartner GenAI spend forecasts &amp; IDC Worldwide AI Spending Guide; Blockchain capped at ≤2% reflecting post-2022 enterprise retrenchment.</t>
  </si>
  <si>
    <t xml:space="preserve">IT / ER&amp;D / EMERGING TECH SPEND BENCHMARKS — SOURCES &amp; METHODOLOGY</t>
  </si>
  <si>
    <t xml:space="preserve">RefractOne Market Intelligence Practice  |  Updated June 2026  |  All figures = spend as % of revenue (median view)</t>
  </si>
  <si>
    <t xml:space="preserve">PRIMARY BENCHMARK SOURCES</t>
  </si>
  <si>
    <t xml:space="preserve">Gartner</t>
  </si>
  <si>
    <t xml:space="preserve">Worldwide IT Spending Forecasts (Jan 2025, Oct 2025, Feb 2026 press releases): 2025 spend $5.61T (+9.8%); 2026 forecast $6.15T (+10.8%), AI infrastructure-led. Gartner IT Key Metrics Data (ITKMD) used for sector IT-spend-as-%-of-revenue medians.</t>
  </si>
  <si>
    <t xml:space="preserve">Avasant / Computer Economics</t>
  </si>
  <si>
    <t xml:space="preserve">IT Spending &amp; Staffing Benchmarks 2024/25 and 2025/26 (36th edition; 300+ organizations, 25+ sectors). Key published ranges: financial services 4.4%–11.4% (25th–75th pct), discrete manufacturing 1.4%–3.2%. Sector chapters: hospitals, logistics, IT services, wholesale, nonprofit, commercial real estate.</t>
  </si>
  <si>
    <t xml:space="preserve">Deloitte Insights</t>
  </si>
  <si>
    <t xml:space="preserve">Global technology leadership / tech budget surveys: cross-industry average ~5.5% of revenue; banking ~7%+, insurance ~4.3%, securities &amp; investments ~11%+.</t>
  </si>
  <si>
    <t xml:space="preserve">Flexera</t>
  </si>
  <si>
    <t xml:space="preserve">State of Tech Spend / Tech Spend Pulse: financial services ~10% of revenue at the high end; cloud ~25–30% share of IT budgets.</t>
  </si>
  <si>
    <t xml:space="preserve">EU Industrial R&amp;D Scoreboard (EC JRC)</t>
  </si>
  <si>
    <t xml:space="preserve">2019–2025 editions (top 2,000–2,500 global R&amp;D investors; ~90% of global business R&amp;D). Sector R&amp;D intensity: pharmaceuticals ~15.4%, software ~10.8%, IT hardware ~8.0%, automotive ~4.7%. 2024 global business R&amp;D €1,443B (+6.3%).</t>
  </si>
  <si>
    <t xml:space="preserve">Zinnov</t>
  </si>
  <si>
    <t xml:space="preserve">Global ER&amp;D / Digital Engineering studies (2021–2024): global ER&amp;D + digital spend ~USD 3T by 2027; digital engineering USD 1,032B (2023) growing ~13% CAGR to USD 1,654B by 2027; Z2000 = top 2,000 global ER&amp;D spenders.</t>
  </si>
  <si>
    <t xml:space="preserve">IDC</t>
  </si>
  <si>
    <t xml:space="preserve">Worldwide AI &amp; GenAI Spending Guides (AI spend trajectory to ~$630B+ by 2028) — used to calibrate AI share of emerging-tech allocation.</t>
  </si>
  <si>
    <t xml:space="preserve">Everest Group / NASSCOM</t>
  </si>
  <si>
    <t xml:space="preserve">ER&amp;D services market sizing and vertical mix — directional cross-check for ER&amp;D growth differentials by vertical.</t>
  </si>
  <si>
    <t xml:space="preserve">Company filings (cross-checks)</t>
  </si>
  <si>
    <t xml:space="preserve">R&amp;D intensity sanity checks: Merck ~25%, Roche ~19%, Medtronic ~8%, NVIDIA ~20%+, VW ~7%, Toyota ~3.6%, Nokia ~17%, Ericsson ~18%, Shell/ExxonMobil &lt;0.5%, Rio Tinto/BHP ~0.2–0.5%.</t>
  </si>
  <si>
    <t xml:space="preserve">METHODOLOGY</t>
  </si>
  <si>
    <t xml:space="preserve">Metric definition</t>
  </si>
  <si>
    <t xml:space="preserve">IT spend = total enterprise technology opex+capex as % of revenue (median organization view, not mean — means are skewed by outliers, per Avasant guidance). ER&amp;D spend = engineering + R&amp;D investment as % of revenue. Public Sector &amp; Education expressed as % of operating budget.</t>
  </si>
  <si>
    <t xml:space="preserve">2022–2025 (anchored)</t>
  </si>
  <si>
    <t xml:space="preserve">2024 values anchored to published medians from the sources above; 2022–2023 back-cast and 2025 forward-cast along the sector intensity-drift path.</t>
  </si>
  <si>
    <t xml:space="preserve">2026–2030 (projected)</t>
  </si>
  <si>
    <t xml:space="preserve">Intensity drift = (sector tech-spend growth) ÷ (nominal revenue growth ~4.5%). Applied annual intensity drift: HIGH-digital verticals +4.5%/yr (banking, capital markets, software, high tech, e-commerce, automotive ER&amp;D); MID +3.5%/yr (most sectors); LOW +2.5%/yr (agriculture, construction, wholesale, mining). Consistent with Gartner IT CAGR of ~8–11% and Zinnov ER&amp;D CAGR of ~9–13% outpacing revenue growth.</t>
  </si>
  <si>
    <t xml:space="preserve">Emerging Tech sheet</t>
  </si>
  <si>
    <t xml:space="preserve">Shares represent allocation mix of emerging-tech budget (2025–26 view). AI shares uplifted ~25% (capped at 34%) per Gartner GenAI forecasts and IDC AI Spending Guide; Blockchain capped at ≤2% reflecting enterprise pullback since 2022.</t>
  </si>
  <si>
    <t xml:space="preserve">ERD Spend Split sheet</t>
  </si>
  <si>
    <t xml:space="preserve">Service-line splits retained as RefractOne proprietary estimates — no public analyst benchmark exists at this granularity. Recommend validating against Zinnov Zones ER&amp;D 2024/25 service-line taxonomies in a follow-up pass.</t>
  </si>
  <si>
    <t xml:space="preserve">Anti-hallucination note</t>
  </si>
  <si>
    <t xml:space="preserve">Per RefractOne research standard, syndicated aggregators (MarketsandMarkets, Mordor, etc.) excluded. Ranges are medians; individual companies vary widely by size (larger firms spend more as % of revenue per Avasant) and business model. 2027–2030 figures are projections, not observed data.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</si>
</sst>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0.0"/>
    <numFmt numFmtId="167" formatCode="0.000"/>
    <numFmt numFmtId="168" formatCode="0"/>
  </numFmts>
  <fonts count="11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  <font>
      <i val="true"/>
      <sz val="9"/>
      <color rgb="FF4A5A66"/>
      <name val="Cambria"/>
      <family val="0"/>
      <charset val="1"/>
    </font>
    <font>
      <sz val="10"/>
      <color rgb="FF000000"/>
      <name val="Aptos"/>
      <family val="0"/>
      <charset val="1"/>
    </font>
    <font>
      <b val="true"/>
      <sz val="13"/>
      <color rgb="FF0C3649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0"/>
      <color rgb="FF0C3649"/>
      <name val="Cambria"/>
      <family val="0"/>
      <charset val="1"/>
    </font>
    <font>
      <sz val="1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0C3649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5A66"/>
      <rgbColor rgb="FF969696"/>
      <rgbColor rgb="FF0C3649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.75" zeroHeight="false" outlineLevelRow="0" outlineLevelCol="0"/>
  <cols>
    <col collapsed="false" customWidth="true" hidden="false" outlineLevel="0" max="1" min="1" style="0" width="38.67"/>
    <col collapsed="false" customWidth="true" hidden="false" outlineLevel="0" max="14" min="14" style="0" width="21.16"/>
  </cols>
  <sheetData>
    <row r="1" customFormat="false" ht="15.75" hidden="false" customHeight="false" outlineLevel="0" collapsed="false">
      <c r="A1" s="1" t="s">
        <v>0</v>
      </c>
      <c r="B1" s="1" t="n">
        <v>2022</v>
      </c>
      <c r="C1" s="1" t="n">
        <v>2023</v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s">
        <v>1</v>
      </c>
      <c r="L1" s="1"/>
      <c r="N1" s="1" t="s">
        <v>0</v>
      </c>
      <c r="O1" s="1" t="n">
        <v>2022</v>
      </c>
      <c r="P1" s="1" t="n">
        <v>2023</v>
      </c>
      <c r="Q1" s="1" t="n">
        <v>2024</v>
      </c>
      <c r="R1" s="1" t="n">
        <v>2025</v>
      </c>
      <c r="S1" s="1" t="n">
        <v>2026</v>
      </c>
      <c r="T1" s="1" t="n">
        <v>2027</v>
      </c>
      <c r="U1" s="1" t="n">
        <v>2028</v>
      </c>
      <c r="V1" s="1" t="n">
        <v>2029</v>
      </c>
      <c r="W1" s="1" t="n">
        <v>2030</v>
      </c>
      <c r="X1" s="1" t="s">
        <v>1</v>
      </c>
    </row>
    <row r="2" customFormat="false" ht="15.75" hidden="false" customHeight="false" outlineLevel="0" collapsed="false">
      <c r="A2" s="2" t="s">
        <v>2</v>
      </c>
      <c r="B2" s="3" t="n">
        <v>2.8</v>
      </c>
      <c r="C2" s="3" t="n">
        <v>2.9</v>
      </c>
      <c r="D2" s="3" t="n">
        <v>3</v>
      </c>
      <c r="E2" s="3" t="n">
        <v>3.1</v>
      </c>
      <c r="F2" s="3" t="n">
        <v>3.21</v>
      </c>
      <c r="G2" s="3" t="n">
        <v>3.33</v>
      </c>
      <c r="H2" s="3" t="n">
        <v>3.44</v>
      </c>
      <c r="I2" s="3" t="n">
        <v>3.56</v>
      </c>
      <c r="J2" s="3" t="n">
        <v>3.69</v>
      </c>
      <c r="K2" s="2" t="s">
        <v>3</v>
      </c>
      <c r="L2" s="2"/>
      <c r="N2" s="2" t="s">
        <v>2</v>
      </c>
      <c r="O2" s="4" t="n">
        <v>3.73</v>
      </c>
      <c r="P2" s="4" t="n">
        <v>3.86</v>
      </c>
      <c r="Q2" s="4" t="n">
        <v>4</v>
      </c>
      <c r="R2" s="4" t="n">
        <v>4.14</v>
      </c>
      <c r="S2" s="4" t="n">
        <v>4.28</v>
      </c>
      <c r="T2" s="4" t="n">
        <v>4.43</v>
      </c>
      <c r="U2" s="4" t="n">
        <v>4.59</v>
      </c>
      <c r="V2" s="4" t="n">
        <v>4.75</v>
      </c>
      <c r="W2" s="4" t="n">
        <v>4.92</v>
      </c>
      <c r="X2" s="2" t="s">
        <v>4</v>
      </c>
    </row>
    <row r="3" customFormat="false" ht="15.75" hidden="false" customHeight="false" outlineLevel="0" collapsed="false">
      <c r="A3" s="2" t="s">
        <v>5</v>
      </c>
      <c r="B3" s="3" t="n">
        <v>1.33</v>
      </c>
      <c r="C3" s="3" t="n">
        <v>1.37</v>
      </c>
      <c r="D3" s="3" t="n">
        <v>1.4</v>
      </c>
      <c r="E3" s="3" t="n">
        <v>1.43</v>
      </c>
      <c r="F3" s="3" t="n">
        <v>1.47</v>
      </c>
      <c r="G3" s="3" t="n">
        <v>1.51</v>
      </c>
      <c r="H3" s="3" t="n">
        <v>1.55</v>
      </c>
      <c r="I3" s="3" t="n">
        <v>1.58</v>
      </c>
      <c r="J3" s="3" t="n">
        <v>1.62</v>
      </c>
      <c r="K3" s="2" t="s">
        <v>6</v>
      </c>
      <c r="L3" s="2"/>
      <c r="N3" s="2" t="s">
        <v>7</v>
      </c>
      <c r="O3" s="4" t="n">
        <v>4.58</v>
      </c>
      <c r="P3" s="4" t="n">
        <v>4.78</v>
      </c>
      <c r="Q3" s="4" t="n">
        <v>5</v>
      </c>
      <c r="R3" s="4" t="n">
        <v>5.22</v>
      </c>
      <c r="S3" s="4" t="n">
        <v>5.46</v>
      </c>
      <c r="T3" s="4" t="n">
        <v>5.71</v>
      </c>
      <c r="U3" s="4" t="n">
        <v>5.96</v>
      </c>
      <c r="V3" s="4" t="n">
        <v>6.23</v>
      </c>
      <c r="W3" s="4" t="n">
        <v>6.51</v>
      </c>
      <c r="X3" s="2" t="s">
        <v>8</v>
      </c>
    </row>
    <row r="4" customFormat="false" ht="15.75" hidden="false" customHeight="false" outlineLevel="0" collapsed="false">
      <c r="A4" s="2" t="s">
        <v>7</v>
      </c>
      <c r="B4" s="3" t="n">
        <v>2.56</v>
      </c>
      <c r="C4" s="3" t="n">
        <v>2.68</v>
      </c>
      <c r="D4" s="3" t="n">
        <v>2.8</v>
      </c>
      <c r="E4" s="3" t="n">
        <v>2.93</v>
      </c>
      <c r="F4" s="3" t="n">
        <v>3.06</v>
      </c>
      <c r="G4" s="3" t="n">
        <v>3.2</v>
      </c>
      <c r="H4" s="3" t="n">
        <v>3.34</v>
      </c>
      <c r="I4" s="3" t="n">
        <v>3.49</v>
      </c>
      <c r="J4" s="3" t="n">
        <v>3.65</v>
      </c>
      <c r="K4" s="2" t="s">
        <v>9</v>
      </c>
      <c r="L4" s="2"/>
      <c r="N4" s="2" t="s">
        <v>10</v>
      </c>
      <c r="O4" s="4" t="n">
        <v>0.76</v>
      </c>
      <c r="P4" s="4" t="n">
        <v>0.78</v>
      </c>
      <c r="Q4" s="4" t="n">
        <v>0.8</v>
      </c>
      <c r="R4" s="4" t="n">
        <v>0.82</v>
      </c>
      <c r="S4" s="4" t="n">
        <v>0.84</v>
      </c>
      <c r="T4" s="4" t="n">
        <v>0.86</v>
      </c>
      <c r="U4" s="4" t="n">
        <v>0.88</v>
      </c>
      <c r="V4" s="4" t="n">
        <v>0.91</v>
      </c>
      <c r="W4" s="4" t="n">
        <v>0.93</v>
      </c>
      <c r="X4" s="2" t="s">
        <v>11</v>
      </c>
    </row>
    <row r="5" customFormat="false" ht="15.75" hidden="false" customHeight="false" outlineLevel="0" collapsed="false">
      <c r="A5" s="2" t="s">
        <v>12</v>
      </c>
      <c r="B5" s="3" t="n">
        <v>5.13</v>
      </c>
      <c r="C5" s="3" t="n">
        <v>5.31</v>
      </c>
      <c r="D5" s="3" t="n">
        <v>5.5</v>
      </c>
      <c r="E5" s="3" t="n">
        <v>5.69</v>
      </c>
      <c r="F5" s="3" t="n">
        <v>5.89</v>
      </c>
      <c r="G5" s="3" t="n">
        <v>6.1</v>
      </c>
      <c r="H5" s="3" t="n">
        <v>6.31</v>
      </c>
      <c r="I5" s="3" t="n">
        <v>6.53</v>
      </c>
      <c r="J5" s="3" t="n">
        <v>6.76</v>
      </c>
      <c r="K5" s="2" t="s">
        <v>13</v>
      </c>
      <c r="L5" s="2"/>
      <c r="N5" s="2" t="s">
        <v>14</v>
      </c>
      <c r="O5" s="4" t="n">
        <v>0.48</v>
      </c>
      <c r="P5" s="4" t="n">
        <v>0.49</v>
      </c>
      <c r="Q5" s="4" t="n">
        <v>0.5</v>
      </c>
      <c r="R5" s="4" t="n">
        <v>0.51</v>
      </c>
      <c r="S5" s="4" t="n">
        <v>0.53</v>
      </c>
      <c r="T5" s="4" t="n">
        <v>0.54</v>
      </c>
      <c r="U5" s="4" t="n">
        <v>0.55</v>
      </c>
      <c r="V5" s="4" t="n">
        <v>0.57</v>
      </c>
      <c r="W5" s="4" t="n">
        <v>0.58</v>
      </c>
      <c r="X5" s="2" t="s">
        <v>15</v>
      </c>
    </row>
    <row r="6" customFormat="false" ht="15.75" hidden="false" customHeight="false" outlineLevel="0" collapsed="false">
      <c r="A6" s="2" t="s">
        <v>10</v>
      </c>
      <c r="B6" s="3" t="n">
        <v>1.62</v>
      </c>
      <c r="C6" s="3" t="n">
        <v>1.66</v>
      </c>
      <c r="D6" s="3" t="n">
        <v>1.7</v>
      </c>
      <c r="E6" s="3" t="n">
        <v>1.74</v>
      </c>
      <c r="F6" s="3" t="n">
        <v>1.79</v>
      </c>
      <c r="G6" s="3" t="n">
        <v>1.83</v>
      </c>
      <c r="H6" s="3" t="n">
        <v>1.88</v>
      </c>
      <c r="I6" s="3" t="n">
        <v>1.92</v>
      </c>
      <c r="J6" s="3" t="n">
        <v>1.97</v>
      </c>
      <c r="K6" s="2" t="s">
        <v>16</v>
      </c>
      <c r="L6" s="2"/>
      <c r="N6" s="2" t="s">
        <v>17</v>
      </c>
      <c r="O6" s="4" t="n">
        <v>1.4</v>
      </c>
      <c r="P6" s="4" t="n">
        <v>1.45</v>
      </c>
      <c r="Q6" s="4" t="n">
        <v>1.5</v>
      </c>
      <c r="R6" s="4" t="n">
        <v>1.55</v>
      </c>
      <c r="S6" s="4" t="n">
        <v>1.61</v>
      </c>
      <c r="T6" s="4" t="n">
        <v>1.66</v>
      </c>
      <c r="U6" s="4" t="n">
        <v>1.72</v>
      </c>
      <c r="V6" s="4" t="n">
        <v>1.78</v>
      </c>
      <c r="W6" s="4" t="n">
        <v>1.84</v>
      </c>
      <c r="X6" s="2" t="s">
        <v>18</v>
      </c>
    </row>
    <row r="7" customFormat="false" ht="15.75" hidden="false" customHeight="false" outlineLevel="0" collapsed="false">
      <c r="A7" s="2" t="s">
        <v>19</v>
      </c>
      <c r="B7" s="3" t="n">
        <v>2.05</v>
      </c>
      <c r="C7" s="3" t="n">
        <v>2.13</v>
      </c>
      <c r="D7" s="3" t="n">
        <v>2.2</v>
      </c>
      <c r="E7" s="3" t="n">
        <v>2.28</v>
      </c>
      <c r="F7" s="3" t="n">
        <v>2.36</v>
      </c>
      <c r="G7" s="3" t="n">
        <v>2.44</v>
      </c>
      <c r="H7" s="3" t="n">
        <v>2.52</v>
      </c>
      <c r="I7" s="3" t="n">
        <v>2.61</v>
      </c>
      <c r="J7" s="3" t="n">
        <v>2.7</v>
      </c>
      <c r="K7" s="2" t="s">
        <v>20</v>
      </c>
      <c r="L7" s="2"/>
      <c r="N7" s="2" t="s">
        <v>21</v>
      </c>
      <c r="O7" s="4" t="n">
        <v>3.27</v>
      </c>
      <c r="P7" s="4" t="n">
        <v>3.38</v>
      </c>
      <c r="Q7" s="4" t="n">
        <v>3.5</v>
      </c>
      <c r="R7" s="4" t="n">
        <v>3.62</v>
      </c>
      <c r="S7" s="4" t="n">
        <v>3.75</v>
      </c>
      <c r="T7" s="4" t="n">
        <v>3.88</v>
      </c>
      <c r="U7" s="4" t="n">
        <v>4.02</v>
      </c>
      <c r="V7" s="4" t="n">
        <v>4.16</v>
      </c>
      <c r="W7" s="4" t="n">
        <v>4.3</v>
      </c>
      <c r="X7" s="2" t="s">
        <v>22</v>
      </c>
    </row>
    <row r="8" customFormat="false" ht="15.75" hidden="false" customHeight="false" outlineLevel="0" collapsed="false">
      <c r="A8" s="2" t="s">
        <v>23</v>
      </c>
      <c r="B8" s="3" t="n">
        <v>3.27</v>
      </c>
      <c r="C8" s="3" t="n">
        <v>3.38</v>
      </c>
      <c r="D8" s="3" t="n">
        <v>3.5</v>
      </c>
      <c r="E8" s="3" t="n">
        <v>3.62</v>
      </c>
      <c r="F8" s="3" t="n">
        <v>3.75</v>
      </c>
      <c r="G8" s="3" t="n">
        <v>3.88</v>
      </c>
      <c r="H8" s="3" t="n">
        <v>4.02</v>
      </c>
      <c r="I8" s="3" t="n">
        <v>4.16</v>
      </c>
      <c r="J8" s="3" t="n">
        <v>4.3</v>
      </c>
      <c r="K8" s="2" t="s">
        <v>24</v>
      </c>
      <c r="L8" s="2"/>
      <c r="N8" s="2" t="s">
        <v>25</v>
      </c>
      <c r="O8" s="4" t="n">
        <v>1.87</v>
      </c>
      <c r="P8" s="4" t="n">
        <v>1.93</v>
      </c>
      <c r="Q8" s="4" t="n">
        <v>2</v>
      </c>
      <c r="R8" s="4" t="n">
        <v>2.07</v>
      </c>
      <c r="S8" s="4" t="n">
        <v>2.14</v>
      </c>
      <c r="T8" s="4" t="n">
        <v>2.22</v>
      </c>
      <c r="U8" s="4" t="n">
        <v>2.3</v>
      </c>
      <c r="V8" s="4" t="n">
        <v>2.38</v>
      </c>
      <c r="W8" s="4" t="n">
        <v>2.46</v>
      </c>
      <c r="X8" s="2" t="s">
        <v>26</v>
      </c>
    </row>
    <row r="9" customFormat="false" ht="15.75" hidden="false" customHeight="false" outlineLevel="0" collapsed="false">
      <c r="A9" s="2" t="s">
        <v>27</v>
      </c>
      <c r="B9" s="3" t="n">
        <v>5.95</v>
      </c>
      <c r="C9" s="3" t="n">
        <v>6.22</v>
      </c>
      <c r="D9" s="3" t="n">
        <v>6.5</v>
      </c>
      <c r="E9" s="3" t="n">
        <v>6.79</v>
      </c>
      <c r="F9" s="3" t="n">
        <v>7.1</v>
      </c>
      <c r="G9" s="3" t="n">
        <v>7.42</v>
      </c>
      <c r="H9" s="3" t="n">
        <v>7.75</v>
      </c>
      <c r="I9" s="3" t="n">
        <v>8.1</v>
      </c>
      <c r="J9" s="3" t="n">
        <v>8.46</v>
      </c>
      <c r="K9" s="2" t="s">
        <v>28</v>
      </c>
      <c r="L9" s="2"/>
      <c r="N9" s="2" t="s">
        <v>29</v>
      </c>
      <c r="O9" s="4" t="n">
        <v>8.4</v>
      </c>
      <c r="P9" s="4" t="n">
        <v>8.7</v>
      </c>
      <c r="Q9" s="4" t="n">
        <v>9</v>
      </c>
      <c r="R9" s="4" t="n">
        <v>9.31</v>
      </c>
      <c r="S9" s="4" t="n">
        <v>9.64</v>
      </c>
      <c r="T9" s="4" t="n">
        <v>9.98</v>
      </c>
      <c r="U9" s="4" t="n">
        <v>10.33</v>
      </c>
      <c r="V9" s="4" t="n">
        <v>10.69</v>
      </c>
      <c r="W9" s="4" t="n">
        <v>11.06</v>
      </c>
      <c r="X9" s="2" t="s">
        <v>30</v>
      </c>
    </row>
    <row r="10" customFormat="false" ht="15.75" hidden="false" customHeight="false" outlineLevel="0" collapsed="false">
      <c r="A10" s="2" t="s">
        <v>31</v>
      </c>
      <c r="B10" s="3" t="n">
        <v>4.67</v>
      </c>
      <c r="C10" s="3" t="n">
        <v>4.83</v>
      </c>
      <c r="D10" s="3" t="n">
        <v>5</v>
      </c>
      <c r="E10" s="3" t="n">
        <v>5.17</v>
      </c>
      <c r="F10" s="3" t="n">
        <v>5.36</v>
      </c>
      <c r="G10" s="3" t="n">
        <v>5.54</v>
      </c>
      <c r="H10" s="3" t="n">
        <v>5.74</v>
      </c>
      <c r="I10" s="3" t="n">
        <v>5.94</v>
      </c>
      <c r="J10" s="3" t="n">
        <v>6.15</v>
      </c>
      <c r="K10" s="2" t="s">
        <v>32</v>
      </c>
      <c r="L10" s="2"/>
      <c r="N10" s="2" t="s">
        <v>33</v>
      </c>
      <c r="O10" s="4" t="n">
        <v>1.87</v>
      </c>
      <c r="P10" s="4" t="n">
        <v>1.93</v>
      </c>
      <c r="Q10" s="4" t="n">
        <v>2</v>
      </c>
      <c r="R10" s="4" t="n">
        <v>2.07</v>
      </c>
      <c r="S10" s="4" t="n">
        <v>2.14</v>
      </c>
      <c r="T10" s="4" t="n">
        <v>2.22</v>
      </c>
      <c r="U10" s="4" t="n">
        <v>2.3</v>
      </c>
      <c r="V10" s="4" t="n">
        <v>2.38</v>
      </c>
      <c r="W10" s="4" t="n">
        <v>2.46</v>
      </c>
      <c r="X10" s="2" t="s">
        <v>34</v>
      </c>
    </row>
    <row r="11" customFormat="false" ht="15.75" hidden="false" customHeight="false" outlineLevel="0" collapsed="false">
      <c r="A11" s="2" t="s">
        <v>14</v>
      </c>
      <c r="B11" s="3" t="n">
        <v>1.21</v>
      </c>
      <c r="C11" s="3" t="n">
        <v>1.26</v>
      </c>
      <c r="D11" s="3" t="n">
        <v>1.3</v>
      </c>
      <c r="E11" s="3" t="n">
        <v>1.35</v>
      </c>
      <c r="F11" s="3" t="n">
        <v>1.39</v>
      </c>
      <c r="G11" s="3" t="n">
        <v>1.44</v>
      </c>
      <c r="H11" s="3" t="n">
        <v>1.49</v>
      </c>
      <c r="I11" s="3" t="n">
        <v>1.54</v>
      </c>
      <c r="J11" s="3" t="n">
        <v>1.6</v>
      </c>
      <c r="K11" s="2" t="s">
        <v>35</v>
      </c>
      <c r="L11" s="2"/>
      <c r="N11" s="2" t="s">
        <v>36</v>
      </c>
      <c r="O11" s="4" t="n">
        <v>7.47</v>
      </c>
      <c r="P11" s="4" t="n">
        <v>7.73</v>
      </c>
      <c r="Q11" s="4" t="n">
        <v>8</v>
      </c>
      <c r="R11" s="4" t="n">
        <v>8.28</v>
      </c>
      <c r="S11" s="4" t="n">
        <v>8.57</v>
      </c>
      <c r="T11" s="4" t="n">
        <v>8.87</v>
      </c>
      <c r="U11" s="4" t="n">
        <v>9.18</v>
      </c>
      <c r="V11" s="4" t="n">
        <v>9.5</v>
      </c>
      <c r="W11" s="4" t="n">
        <v>9.83</v>
      </c>
      <c r="X11" s="2" t="s">
        <v>37</v>
      </c>
    </row>
    <row r="12" customFormat="false" ht="15.75" hidden="false" customHeight="false" outlineLevel="0" collapsed="false">
      <c r="A12" s="2" t="s">
        <v>38</v>
      </c>
      <c r="B12" s="3" t="n">
        <v>9.62</v>
      </c>
      <c r="C12" s="3" t="n">
        <v>10.05</v>
      </c>
      <c r="D12" s="3" t="n">
        <v>10.5</v>
      </c>
      <c r="E12" s="3" t="n">
        <v>10.97</v>
      </c>
      <c r="F12" s="3" t="n">
        <v>11.47</v>
      </c>
      <c r="G12" s="3" t="n">
        <v>11.98</v>
      </c>
      <c r="H12" s="3" t="n">
        <v>12.52</v>
      </c>
      <c r="I12" s="3" t="n">
        <v>13.08</v>
      </c>
      <c r="J12" s="3" t="n">
        <v>13.67</v>
      </c>
      <c r="K12" s="2" t="s">
        <v>39</v>
      </c>
      <c r="L12" s="2"/>
      <c r="N12" s="2" t="s">
        <v>40</v>
      </c>
      <c r="O12" s="4" t="n">
        <v>0.38</v>
      </c>
      <c r="P12" s="4" t="n">
        <v>0.39</v>
      </c>
      <c r="Q12" s="4" t="n">
        <v>0.4</v>
      </c>
      <c r="R12" s="4" t="n">
        <v>0.41</v>
      </c>
      <c r="S12" s="4" t="n">
        <v>0.42</v>
      </c>
      <c r="T12" s="4" t="n">
        <v>0.43</v>
      </c>
      <c r="U12" s="4" t="n">
        <v>0.44</v>
      </c>
      <c r="V12" s="4" t="n">
        <v>0.45</v>
      </c>
      <c r="W12" s="4" t="n">
        <v>0.46</v>
      </c>
      <c r="X12" s="2" t="s">
        <v>41</v>
      </c>
    </row>
    <row r="13" customFormat="false" ht="15.75" hidden="false" customHeight="false" outlineLevel="0" collapsed="false">
      <c r="A13" s="2" t="s">
        <v>42</v>
      </c>
      <c r="B13" s="3" t="n">
        <v>4.2</v>
      </c>
      <c r="C13" s="3" t="n">
        <v>4.35</v>
      </c>
      <c r="D13" s="3" t="n">
        <v>4.5</v>
      </c>
      <c r="E13" s="3" t="n">
        <v>4.66</v>
      </c>
      <c r="F13" s="3" t="n">
        <v>4.82</v>
      </c>
      <c r="G13" s="3" t="n">
        <v>4.99</v>
      </c>
      <c r="H13" s="3" t="n">
        <v>5.16</v>
      </c>
      <c r="I13" s="3" t="n">
        <v>5.34</v>
      </c>
      <c r="J13" s="3" t="n">
        <v>5.53</v>
      </c>
      <c r="K13" s="2" t="s">
        <v>43</v>
      </c>
      <c r="L13" s="2"/>
      <c r="N13" s="2" t="s">
        <v>44</v>
      </c>
      <c r="O13" s="4" t="n">
        <v>14.94</v>
      </c>
      <c r="P13" s="4" t="n">
        <v>15.46</v>
      </c>
      <c r="Q13" s="4" t="n">
        <v>16</v>
      </c>
      <c r="R13" s="4" t="n">
        <v>16.56</v>
      </c>
      <c r="S13" s="4" t="n">
        <v>17.14</v>
      </c>
      <c r="T13" s="4" t="n">
        <v>17.74</v>
      </c>
      <c r="U13" s="4" t="n">
        <v>18.36</v>
      </c>
      <c r="V13" s="4" t="n">
        <v>19</v>
      </c>
      <c r="W13" s="4" t="n">
        <v>19.67</v>
      </c>
      <c r="X13" s="2" t="s">
        <v>45</v>
      </c>
    </row>
    <row r="14" customFormat="false" ht="15.75" hidden="false" customHeight="false" outlineLevel="0" collapsed="false">
      <c r="A14" s="2" t="s">
        <v>17</v>
      </c>
      <c r="B14" s="3" t="n">
        <v>4.2</v>
      </c>
      <c r="C14" s="3" t="n">
        <v>4.35</v>
      </c>
      <c r="D14" s="3" t="n">
        <v>4.5</v>
      </c>
      <c r="E14" s="3" t="n">
        <v>4.66</v>
      </c>
      <c r="F14" s="3" t="n">
        <v>4.82</v>
      </c>
      <c r="G14" s="3" t="n">
        <v>4.99</v>
      </c>
      <c r="H14" s="3" t="n">
        <v>5.16</v>
      </c>
      <c r="I14" s="3" t="n">
        <v>5.34</v>
      </c>
      <c r="J14" s="3" t="n">
        <v>5.53</v>
      </c>
      <c r="K14" s="2" t="s">
        <v>46</v>
      </c>
      <c r="L14" s="2"/>
      <c r="N14" s="2" t="s">
        <v>47</v>
      </c>
      <c r="O14" s="4" t="n">
        <v>1.68</v>
      </c>
      <c r="P14" s="4" t="n">
        <v>1.74</v>
      </c>
      <c r="Q14" s="4" t="n">
        <v>1.8</v>
      </c>
      <c r="R14" s="4" t="n">
        <v>1.86</v>
      </c>
      <c r="S14" s="4" t="n">
        <v>1.93</v>
      </c>
      <c r="T14" s="4" t="n">
        <v>2</v>
      </c>
      <c r="U14" s="4" t="n">
        <v>2.07</v>
      </c>
      <c r="V14" s="4" t="n">
        <v>2.14</v>
      </c>
      <c r="W14" s="4" t="n">
        <v>2.21</v>
      </c>
      <c r="X14" s="2" t="s">
        <v>48</v>
      </c>
    </row>
    <row r="15" customFormat="false" ht="15.75" hidden="false" customHeight="false" outlineLevel="0" collapsed="false">
      <c r="A15" s="2" t="s">
        <v>49</v>
      </c>
      <c r="B15" s="3" t="n">
        <v>8.24</v>
      </c>
      <c r="C15" s="3" t="n">
        <v>8.61</v>
      </c>
      <c r="D15" s="3" t="n">
        <v>9</v>
      </c>
      <c r="E15" s="3" t="n">
        <v>9.4</v>
      </c>
      <c r="F15" s="3" t="n">
        <v>9.83</v>
      </c>
      <c r="G15" s="3" t="n">
        <v>10.27</v>
      </c>
      <c r="H15" s="3" t="n">
        <v>10.73</v>
      </c>
      <c r="I15" s="3" t="n">
        <v>11.22</v>
      </c>
      <c r="J15" s="3" t="n">
        <v>11.72</v>
      </c>
      <c r="K15" s="2" t="s">
        <v>50</v>
      </c>
      <c r="L15" s="2"/>
      <c r="N15" s="2" t="s">
        <v>51</v>
      </c>
      <c r="O15" s="4" t="n">
        <v>0.95</v>
      </c>
      <c r="P15" s="4" t="n">
        <v>0.98</v>
      </c>
      <c r="Q15" s="4" t="n">
        <v>1</v>
      </c>
      <c r="R15" s="4" t="n">
        <v>1.02</v>
      </c>
      <c r="S15" s="4" t="n">
        <v>1.05</v>
      </c>
      <c r="T15" s="4" t="n">
        <v>1.08</v>
      </c>
      <c r="U15" s="4" t="n">
        <v>1.1</v>
      </c>
      <c r="V15" s="4" t="n">
        <v>1.13</v>
      </c>
      <c r="W15" s="4" t="n">
        <v>1.16</v>
      </c>
      <c r="X15" s="2" t="s">
        <v>52</v>
      </c>
    </row>
    <row r="16" customFormat="false" ht="15.75" hidden="false" customHeight="false" outlineLevel="0" collapsed="false">
      <c r="A16" s="2" t="s">
        <v>53</v>
      </c>
      <c r="B16" s="3" t="n">
        <v>2.8</v>
      </c>
      <c r="C16" s="3" t="n">
        <v>2.9</v>
      </c>
      <c r="D16" s="3" t="n">
        <v>3</v>
      </c>
      <c r="E16" s="3" t="n">
        <v>3.1</v>
      </c>
      <c r="F16" s="3" t="n">
        <v>3.21</v>
      </c>
      <c r="G16" s="3" t="n">
        <v>3.33</v>
      </c>
      <c r="H16" s="3" t="n">
        <v>3.44</v>
      </c>
      <c r="I16" s="3" t="n">
        <v>3.56</v>
      </c>
      <c r="J16" s="3" t="n">
        <v>3.69</v>
      </c>
      <c r="K16" s="2" t="s">
        <v>54</v>
      </c>
      <c r="L16" s="2"/>
      <c r="T16" s="5"/>
      <c r="U16" s="5"/>
      <c r="V16" s="5"/>
      <c r="W16" s="5"/>
    </row>
    <row r="17" customFormat="false" ht="15.75" hidden="false" customHeight="false" outlineLevel="0" collapsed="false">
      <c r="A17" s="2" t="s">
        <v>21</v>
      </c>
      <c r="B17" s="3" t="n">
        <v>1.96</v>
      </c>
      <c r="C17" s="3" t="n">
        <v>2.03</v>
      </c>
      <c r="D17" s="3" t="n">
        <v>2.1</v>
      </c>
      <c r="E17" s="3" t="n">
        <v>2.17</v>
      </c>
      <c r="F17" s="3" t="n">
        <v>2.25</v>
      </c>
      <c r="G17" s="3" t="n">
        <v>2.33</v>
      </c>
      <c r="H17" s="3" t="n">
        <v>2.41</v>
      </c>
      <c r="I17" s="3" t="n">
        <v>2.49</v>
      </c>
      <c r="J17" s="3" t="n">
        <v>2.58</v>
      </c>
      <c r="K17" s="2" t="s">
        <v>55</v>
      </c>
      <c r="L17" s="2"/>
      <c r="Q17" s="6"/>
      <c r="R17" s="6"/>
      <c r="S17" s="6"/>
      <c r="T17" s="5"/>
      <c r="U17" s="5"/>
      <c r="V17" s="5"/>
      <c r="W17" s="5"/>
      <c r="X17" s="6"/>
      <c r="Y17" s="6"/>
      <c r="Z17" s="6"/>
      <c r="AA17" s="6"/>
    </row>
    <row r="18" customFormat="false" ht="15.75" hidden="false" customHeight="false" outlineLevel="0" collapsed="false">
      <c r="A18" s="2" t="s">
        <v>25</v>
      </c>
      <c r="B18" s="3" t="n">
        <v>1.68</v>
      </c>
      <c r="C18" s="3" t="n">
        <v>1.74</v>
      </c>
      <c r="D18" s="3" t="n">
        <v>1.8</v>
      </c>
      <c r="E18" s="3" t="n">
        <v>1.86</v>
      </c>
      <c r="F18" s="3" t="n">
        <v>1.93</v>
      </c>
      <c r="G18" s="3" t="n">
        <v>2</v>
      </c>
      <c r="H18" s="3" t="n">
        <v>2.07</v>
      </c>
      <c r="I18" s="3" t="n">
        <v>2.14</v>
      </c>
      <c r="J18" s="3" t="n">
        <v>2.21</v>
      </c>
      <c r="K18" s="2" t="s">
        <v>56</v>
      </c>
      <c r="L18" s="2"/>
      <c r="N18" s="7" t="s">
        <v>57</v>
      </c>
      <c r="Q18" s="6"/>
      <c r="T18" s="5"/>
      <c r="U18" s="5"/>
      <c r="V18" s="5"/>
      <c r="W18" s="5"/>
    </row>
    <row r="19" customFormat="false" ht="15.75" hidden="false" customHeight="false" outlineLevel="0" collapsed="false">
      <c r="A19" s="2" t="s">
        <v>29</v>
      </c>
      <c r="B19" s="3" t="n">
        <v>5.13</v>
      </c>
      <c r="C19" s="3" t="n">
        <v>5.31</v>
      </c>
      <c r="D19" s="3" t="n">
        <v>5.5</v>
      </c>
      <c r="E19" s="3" t="n">
        <v>5.69</v>
      </c>
      <c r="F19" s="3" t="n">
        <v>5.89</v>
      </c>
      <c r="G19" s="3" t="n">
        <v>6.1</v>
      </c>
      <c r="H19" s="3" t="n">
        <v>6.31</v>
      </c>
      <c r="I19" s="3" t="n">
        <v>6.53</v>
      </c>
      <c r="J19" s="3" t="n">
        <v>6.76</v>
      </c>
      <c r="K19" s="2" t="s">
        <v>58</v>
      </c>
      <c r="L19" s="2"/>
      <c r="Q19" s="6"/>
      <c r="T19" s="5"/>
      <c r="U19" s="5"/>
      <c r="V19" s="5"/>
      <c r="W19" s="5"/>
    </row>
    <row r="20" customFormat="false" ht="15.75" hidden="false" customHeight="false" outlineLevel="0" collapsed="false">
      <c r="A20" s="2" t="s">
        <v>33</v>
      </c>
      <c r="B20" s="3" t="n">
        <v>5.6</v>
      </c>
      <c r="C20" s="3" t="n">
        <v>5.8</v>
      </c>
      <c r="D20" s="3" t="n">
        <v>6</v>
      </c>
      <c r="E20" s="3" t="n">
        <v>6.21</v>
      </c>
      <c r="F20" s="3" t="n">
        <v>6.43</v>
      </c>
      <c r="G20" s="3" t="n">
        <v>6.65</v>
      </c>
      <c r="H20" s="3" t="n">
        <v>6.89</v>
      </c>
      <c r="I20" s="3" t="n">
        <v>7.13</v>
      </c>
      <c r="J20" s="3" t="n">
        <v>7.38</v>
      </c>
      <c r="K20" s="2" t="s">
        <v>59</v>
      </c>
      <c r="L20" s="2"/>
      <c r="Q20" s="6"/>
      <c r="T20" s="5"/>
      <c r="U20" s="5"/>
      <c r="V20" s="5"/>
      <c r="W20" s="5"/>
    </row>
    <row r="21" customFormat="false" ht="15.75" hidden="false" customHeight="false" outlineLevel="0" collapsed="false">
      <c r="A21" s="2" t="s">
        <v>60</v>
      </c>
      <c r="B21" s="3" t="n">
        <v>4.01</v>
      </c>
      <c r="C21" s="3" t="n">
        <v>4.15</v>
      </c>
      <c r="D21" s="3" t="n">
        <v>4.3</v>
      </c>
      <c r="E21" s="3" t="n">
        <v>4.45</v>
      </c>
      <c r="F21" s="3" t="n">
        <v>4.61</v>
      </c>
      <c r="G21" s="3" t="n">
        <v>4.77</v>
      </c>
      <c r="H21" s="3" t="n">
        <v>4.93</v>
      </c>
      <c r="I21" s="3" t="n">
        <v>5.11</v>
      </c>
      <c r="J21" s="3" t="n">
        <v>5.29</v>
      </c>
      <c r="K21" s="2" t="s">
        <v>61</v>
      </c>
      <c r="L21" s="2"/>
      <c r="Q21" s="6"/>
      <c r="T21" s="5"/>
      <c r="U21" s="5"/>
      <c r="V21" s="5"/>
      <c r="W21" s="5"/>
    </row>
    <row r="22" customFormat="false" ht="15.75" hidden="false" customHeight="false" outlineLevel="0" collapsed="false">
      <c r="A22" s="2" t="s">
        <v>62</v>
      </c>
      <c r="B22" s="3" t="n">
        <v>5.13</v>
      </c>
      <c r="C22" s="3" t="n">
        <v>5.31</v>
      </c>
      <c r="D22" s="3" t="n">
        <v>5.5</v>
      </c>
      <c r="E22" s="3" t="n">
        <v>5.69</v>
      </c>
      <c r="F22" s="3" t="n">
        <v>5.89</v>
      </c>
      <c r="G22" s="3" t="n">
        <v>6.1</v>
      </c>
      <c r="H22" s="3" t="n">
        <v>6.31</v>
      </c>
      <c r="I22" s="3" t="n">
        <v>6.53</v>
      </c>
      <c r="J22" s="3" t="n">
        <v>6.76</v>
      </c>
      <c r="K22" s="2" t="s">
        <v>63</v>
      </c>
      <c r="L22" s="2"/>
      <c r="Q22" s="6"/>
      <c r="T22" s="5"/>
      <c r="U22" s="5"/>
      <c r="V22" s="5"/>
      <c r="W22" s="5"/>
    </row>
    <row r="23" customFormat="false" ht="15.75" hidden="false" customHeight="false" outlineLevel="0" collapsed="false">
      <c r="A23" s="2" t="s">
        <v>36</v>
      </c>
      <c r="B23" s="3" t="n">
        <v>3.73</v>
      </c>
      <c r="C23" s="3" t="n">
        <v>3.86</v>
      </c>
      <c r="D23" s="3" t="n">
        <v>4</v>
      </c>
      <c r="E23" s="3" t="n">
        <v>4.14</v>
      </c>
      <c r="F23" s="3" t="n">
        <v>4.28</v>
      </c>
      <c r="G23" s="3" t="n">
        <v>4.43</v>
      </c>
      <c r="H23" s="3" t="n">
        <v>4.59</v>
      </c>
      <c r="I23" s="3" t="n">
        <v>4.75</v>
      </c>
      <c r="J23" s="3" t="n">
        <v>4.92</v>
      </c>
      <c r="K23" s="2" t="s">
        <v>64</v>
      </c>
      <c r="L23" s="2"/>
      <c r="Q23" s="6"/>
      <c r="T23" s="5"/>
      <c r="U23" s="5"/>
      <c r="V23" s="5"/>
      <c r="W23" s="5"/>
    </row>
    <row r="24" customFormat="false" ht="15.75" hidden="false" customHeight="false" outlineLevel="0" collapsed="false">
      <c r="A24" s="2" t="s">
        <v>40</v>
      </c>
      <c r="B24" s="3" t="n">
        <v>1.14</v>
      </c>
      <c r="C24" s="3" t="n">
        <v>1.17</v>
      </c>
      <c r="D24" s="3" t="n">
        <v>1.2</v>
      </c>
      <c r="E24" s="3" t="n">
        <v>1.23</v>
      </c>
      <c r="F24" s="3" t="n">
        <v>1.26</v>
      </c>
      <c r="G24" s="3" t="n">
        <v>1.29</v>
      </c>
      <c r="H24" s="3" t="n">
        <v>1.32</v>
      </c>
      <c r="I24" s="3" t="n">
        <v>1.36</v>
      </c>
      <c r="J24" s="3" t="n">
        <v>1.39</v>
      </c>
      <c r="K24" s="2" t="s">
        <v>65</v>
      </c>
      <c r="L24" s="2"/>
      <c r="N24" s="6"/>
      <c r="O24" s="6"/>
      <c r="P24" s="6"/>
      <c r="Q24" s="6"/>
      <c r="T24" s="5"/>
      <c r="U24" s="5"/>
      <c r="V24" s="5"/>
      <c r="W24" s="5"/>
    </row>
    <row r="25" customFormat="false" ht="15.75" hidden="false" customHeight="false" outlineLevel="0" collapsed="false">
      <c r="A25" s="2" t="s">
        <v>66</v>
      </c>
      <c r="B25" s="3" t="n">
        <v>2.8</v>
      </c>
      <c r="C25" s="3" t="n">
        <v>2.9</v>
      </c>
      <c r="D25" s="3" t="n">
        <v>3</v>
      </c>
      <c r="E25" s="3" t="n">
        <v>3.1</v>
      </c>
      <c r="F25" s="3" t="n">
        <v>3.21</v>
      </c>
      <c r="G25" s="3" t="n">
        <v>3.33</v>
      </c>
      <c r="H25" s="3" t="n">
        <v>3.44</v>
      </c>
      <c r="I25" s="3" t="n">
        <v>3.56</v>
      </c>
      <c r="J25" s="3" t="n">
        <v>3.69</v>
      </c>
      <c r="K25" s="2" t="s">
        <v>67</v>
      </c>
      <c r="L25" s="2"/>
      <c r="N25" s="6"/>
      <c r="Q25" s="6"/>
      <c r="T25" s="5"/>
      <c r="U25" s="5"/>
      <c r="V25" s="5"/>
      <c r="W25" s="5"/>
    </row>
    <row r="26" customFormat="false" ht="15.75" hidden="false" customHeight="false" outlineLevel="0" collapsed="false">
      <c r="A26" s="2" t="s">
        <v>68</v>
      </c>
      <c r="B26" s="3" t="n">
        <v>3.73</v>
      </c>
      <c r="C26" s="3" t="n">
        <v>3.86</v>
      </c>
      <c r="D26" s="3" t="n">
        <v>4</v>
      </c>
      <c r="E26" s="3" t="n">
        <v>4.14</v>
      </c>
      <c r="F26" s="3" t="n">
        <v>4.28</v>
      </c>
      <c r="G26" s="3" t="n">
        <v>4.43</v>
      </c>
      <c r="H26" s="3" t="n">
        <v>4.59</v>
      </c>
      <c r="I26" s="3" t="n">
        <v>4.75</v>
      </c>
      <c r="J26" s="3" t="n">
        <v>4.92</v>
      </c>
      <c r="K26" s="2" t="s">
        <v>69</v>
      </c>
      <c r="L26" s="2"/>
      <c r="N26" s="6"/>
      <c r="Q26" s="6"/>
      <c r="T26" s="5"/>
      <c r="U26" s="5"/>
      <c r="V26" s="5"/>
      <c r="W26" s="5"/>
    </row>
    <row r="27" customFormat="false" ht="15.75" hidden="false" customHeight="false" outlineLevel="0" collapsed="false">
      <c r="A27" s="2" t="s">
        <v>44</v>
      </c>
      <c r="B27" s="3" t="n">
        <v>3.27</v>
      </c>
      <c r="C27" s="3" t="n">
        <v>3.38</v>
      </c>
      <c r="D27" s="3" t="n">
        <v>3.5</v>
      </c>
      <c r="E27" s="3" t="n">
        <v>3.62</v>
      </c>
      <c r="F27" s="3" t="n">
        <v>3.75</v>
      </c>
      <c r="G27" s="3" t="n">
        <v>3.88</v>
      </c>
      <c r="H27" s="3" t="n">
        <v>4.02</v>
      </c>
      <c r="I27" s="3" t="n">
        <v>4.16</v>
      </c>
      <c r="J27" s="3" t="n">
        <v>4.3</v>
      </c>
      <c r="K27" s="2" t="s">
        <v>70</v>
      </c>
      <c r="L27" s="2"/>
      <c r="N27" s="6"/>
      <c r="Q27" s="6"/>
      <c r="T27" s="5"/>
      <c r="U27" s="5"/>
      <c r="V27" s="5"/>
      <c r="W27" s="5"/>
    </row>
    <row r="28" customFormat="false" ht="15.75" hidden="false" customHeight="false" outlineLevel="0" collapsed="false">
      <c r="A28" s="2" t="s">
        <v>71</v>
      </c>
      <c r="B28" s="3" t="n">
        <v>5.6</v>
      </c>
      <c r="C28" s="3" t="n">
        <v>5.8</v>
      </c>
      <c r="D28" s="3" t="n">
        <v>6</v>
      </c>
      <c r="E28" s="3" t="n">
        <v>6.21</v>
      </c>
      <c r="F28" s="3" t="n">
        <v>6.43</v>
      </c>
      <c r="G28" s="3" t="n">
        <v>6.65</v>
      </c>
      <c r="H28" s="3" t="n">
        <v>6.89</v>
      </c>
      <c r="I28" s="3" t="n">
        <v>7.13</v>
      </c>
      <c r="J28" s="3" t="n">
        <v>7.38</v>
      </c>
      <c r="K28" s="2" t="s">
        <v>72</v>
      </c>
      <c r="L28" s="2"/>
      <c r="N28" s="6"/>
      <c r="Q28" s="6"/>
      <c r="T28" s="5"/>
      <c r="U28" s="5"/>
      <c r="V28" s="5"/>
      <c r="W28" s="5"/>
    </row>
    <row r="29" customFormat="false" ht="15.75" hidden="false" customHeight="false" outlineLevel="0" collapsed="false">
      <c r="A29" s="2" t="s">
        <v>73</v>
      </c>
      <c r="B29" s="3" t="n">
        <v>2.15</v>
      </c>
      <c r="C29" s="3" t="n">
        <v>2.22</v>
      </c>
      <c r="D29" s="3" t="n">
        <v>2.3</v>
      </c>
      <c r="E29" s="3" t="n">
        <v>2.38</v>
      </c>
      <c r="F29" s="3" t="n">
        <v>2.46</v>
      </c>
      <c r="G29" s="3" t="n">
        <v>2.55</v>
      </c>
      <c r="H29" s="3" t="n">
        <v>2.64</v>
      </c>
      <c r="I29" s="3" t="n">
        <v>2.73</v>
      </c>
      <c r="J29" s="3" t="n">
        <v>2.83</v>
      </c>
      <c r="K29" s="2" t="s">
        <v>74</v>
      </c>
      <c r="L29" s="2"/>
      <c r="N29" s="6"/>
      <c r="Q29" s="6"/>
      <c r="T29" s="5"/>
      <c r="U29" s="5"/>
      <c r="V29" s="5"/>
      <c r="W29" s="5"/>
    </row>
    <row r="30" customFormat="false" ht="15.75" hidden="false" customHeight="false" outlineLevel="0" collapsed="false">
      <c r="A30" s="2" t="s">
        <v>75</v>
      </c>
      <c r="B30" s="3" t="n">
        <v>4.2</v>
      </c>
      <c r="C30" s="3" t="n">
        <v>4.35</v>
      </c>
      <c r="D30" s="3" t="n">
        <v>4.5</v>
      </c>
      <c r="E30" s="3" t="n">
        <v>4.66</v>
      </c>
      <c r="F30" s="3" t="n">
        <v>4.82</v>
      </c>
      <c r="G30" s="3" t="n">
        <v>4.99</v>
      </c>
      <c r="H30" s="3" t="n">
        <v>5.16</v>
      </c>
      <c r="I30" s="3" t="n">
        <v>5.34</v>
      </c>
      <c r="J30" s="3" t="n">
        <v>5.53</v>
      </c>
      <c r="K30" s="2" t="s">
        <v>76</v>
      </c>
      <c r="L30" s="2"/>
      <c r="N30" s="6"/>
      <c r="Q30" s="6"/>
      <c r="T30" s="5"/>
      <c r="U30" s="5"/>
      <c r="V30" s="5"/>
      <c r="W30" s="5"/>
    </row>
    <row r="31" customFormat="false" ht="15.75" hidden="false" customHeight="false" outlineLevel="0" collapsed="false">
      <c r="A31" s="2" t="s">
        <v>77</v>
      </c>
      <c r="B31" s="3" t="n">
        <v>2.05</v>
      </c>
      <c r="C31" s="3" t="n">
        <v>2.13</v>
      </c>
      <c r="D31" s="3" t="n">
        <v>2.2</v>
      </c>
      <c r="E31" s="3" t="n">
        <v>2.28</v>
      </c>
      <c r="F31" s="3" t="n">
        <v>2.36</v>
      </c>
      <c r="G31" s="3" t="n">
        <v>2.44</v>
      </c>
      <c r="H31" s="3" t="n">
        <v>2.52</v>
      </c>
      <c r="I31" s="3" t="n">
        <v>2.61</v>
      </c>
      <c r="J31" s="3" t="n">
        <v>2.7</v>
      </c>
      <c r="K31" s="2" t="s">
        <v>78</v>
      </c>
      <c r="L31" s="2"/>
      <c r="N31" s="6"/>
      <c r="Q31" s="6"/>
      <c r="T31" s="5"/>
      <c r="U31" s="5"/>
      <c r="V31" s="5"/>
      <c r="W31" s="5"/>
    </row>
    <row r="32" customFormat="false" ht="15.75" hidden="false" customHeight="false" outlineLevel="0" collapsed="false">
      <c r="A32" s="2" t="s">
        <v>79</v>
      </c>
      <c r="B32" s="3" t="n">
        <v>6.87</v>
      </c>
      <c r="C32" s="3" t="n">
        <v>7.18</v>
      </c>
      <c r="D32" s="3" t="n">
        <v>7.5</v>
      </c>
      <c r="E32" s="3" t="n">
        <v>7.84</v>
      </c>
      <c r="F32" s="3" t="n">
        <v>8.19</v>
      </c>
      <c r="G32" s="3" t="n">
        <v>8.56</v>
      </c>
      <c r="H32" s="3" t="n">
        <v>8.94</v>
      </c>
      <c r="I32" s="3" t="n">
        <v>9.35</v>
      </c>
      <c r="J32" s="3" t="n">
        <v>9.77</v>
      </c>
      <c r="K32" s="2" t="s">
        <v>80</v>
      </c>
      <c r="L32" s="2"/>
      <c r="N32" s="6"/>
      <c r="T32" s="5"/>
      <c r="U32" s="5"/>
      <c r="V32" s="5"/>
      <c r="W32" s="5"/>
    </row>
    <row r="33" customFormat="false" ht="15.75" hidden="false" customHeight="false" outlineLevel="0" collapsed="false">
      <c r="A33" s="2" t="s">
        <v>81</v>
      </c>
      <c r="B33" s="3" t="n">
        <v>10.07</v>
      </c>
      <c r="C33" s="3" t="n">
        <v>10.53</v>
      </c>
      <c r="D33" s="3" t="n">
        <v>11</v>
      </c>
      <c r="E33" s="3" t="n">
        <v>11.49</v>
      </c>
      <c r="F33" s="3" t="n">
        <v>12.01</v>
      </c>
      <c r="G33" s="3" t="n">
        <v>12.55</v>
      </c>
      <c r="H33" s="3" t="n">
        <v>13.12</v>
      </c>
      <c r="I33" s="3" t="n">
        <v>13.71</v>
      </c>
      <c r="J33" s="3" t="n">
        <v>14.32</v>
      </c>
      <c r="K33" s="2" t="s">
        <v>82</v>
      </c>
      <c r="L33" s="2"/>
      <c r="N33" s="6"/>
      <c r="T33" s="5"/>
      <c r="U33" s="5"/>
      <c r="V33" s="5"/>
      <c r="W33" s="5"/>
    </row>
    <row r="34" customFormat="false" ht="15.75" hidden="false" customHeight="false" outlineLevel="0" collapsed="false">
      <c r="A34" s="2" t="s">
        <v>83</v>
      </c>
      <c r="B34" s="3" t="n">
        <v>2.15</v>
      </c>
      <c r="C34" s="3" t="n">
        <v>2.22</v>
      </c>
      <c r="D34" s="3" t="n">
        <v>2.3</v>
      </c>
      <c r="E34" s="3" t="n">
        <v>2.38</v>
      </c>
      <c r="F34" s="3" t="n">
        <v>2.46</v>
      </c>
      <c r="G34" s="3" t="n">
        <v>2.55</v>
      </c>
      <c r="H34" s="3" t="n">
        <v>2.64</v>
      </c>
      <c r="I34" s="3" t="n">
        <v>2.73</v>
      </c>
      <c r="J34" s="3" t="n">
        <v>2.83</v>
      </c>
      <c r="K34" s="2" t="s">
        <v>84</v>
      </c>
      <c r="L34" s="2"/>
      <c r="N34" s="6"/>
      <c r="T34" s="5"/>
      <c r="U34" s="5"/>
      <c r="V34" s="5"/>
      <c r="W34" s="5"/>
    </row>
    <row r="35" customFormat="false" ht="15.75" hidden="false" customHeight="false" outlineLevel="0" collapsed="false">
      <c r="A35" s="2" t="s">
        <v>47</v>
      </c>
      <c r="B35" s="3" t="n">
        <v>4.2</v>
      </c>
      <c r="C35" s="3" t="n">
        <v>4.35</v>
      </c>
      <c r="D35" s="3" t="n">
        <v>4.5</v>
      </c>
      <c r="E35" s="3" t="n">
        <v>4.66</v>
      </c>
      <c r="F35" s="3" t="n">
        <v>4.82</v>
      </c>
      <c r="G35" s="3" t="n">
        <v>4.99</v>
      </c>
      <c r="H35" s="3" t="n">
        <v>5.16</v>
      </c>
      <c r="I35" s="3" t="n">
        <v>5.34</v>
      </c>
      <c r="J35" s="3" t="n">
        <v>5.53</v>
      </c>
      <c r="K35" s="2" t="s">
        <v>85</v>
      </c>
      <c r="L35" s="2"/>
      <c r="N35" s="6"/>
      <c r="T35" s="5"/>
      <c r="U35" s="5"/>
      <c r="V35" s="5"/>
      <c r="W35" s="5"/>
    </row>
    <row r="36" customFormat="false" ht="15.75" hidden="false" customHeight="false" outlineLevel="0" collapsed="false">
      <c r="A36" s="2" t="s">
        <v>51</v>
      </c>
      <c r="B36" s="3" t="n">
        <v>2.33</v>
      </c>
      <c r="C36" s="3" t="n">
        <v>2.42</v>
      </c>
      <c r="D36" s="3" t="n">
        <v>2.5</v>
      </c>
      <c r="E36" s="3" t="n">
        <v>2.59</v>
      </c>
      <c r="F36" s="3" t="n">
        <v>2.68</v>
      </c>
      <c r="G36" s="3" t="n">
        <v>2.77</v>
      </c>
      <c r="H36" s="3" t="n">
        <v>2.87</v>
      </c>
      <c r="I36" s="3" t="n">
        <v>2.97</v>
      </c>
      <c r="J36" s="3" t="n">
        <v>3.07</v>
      </c>
      <c r="K36" s="2" t="s">
        <v>86</v>
      </c>
      <c r="L36" s="2"/>
      <c r="N36" s="6"/>
      <c r="T36" s="5"/>
      <c r="U36" s="5"/>
      <c r="V36" s="5"/>
      <c r="W36" s="5"/>
    </row>
    <row r="37" customFormat="false" ht="15.75" hidden="false" customHeight="false" outlineLevel="0" collapsed="false">
      <c r="A37" s="2" t="s">
        <v>87</v>
      </c>
      <c r="B37" s="3" t="n">
        <v>2.61</v>
      </c>
      <c r="C37" s="3" t="n">
        <v>2.71</v>
      </c>
      <c r="D37" s="3" t="n">
        <v>2.8</v>
      </c>
      <c r="E37" s="3" t="n">
        <v>2.9</v>
      </c>
      <c r="F37" s="3" t="n">
        <v>3</v>
      </c>
      <c r="G37" s="3" t="n">
        <v>3.1</v>
      </c>
      <c r="H37" s="3" t="n">
        <v>3.21</v>
      </c>
      <c r="I37" s="3" t="n">
        <v>3.33</v>
      </c>
      <c r="J37" s="3" t="n">
        <v>3.44</v>
      </c>
      <c r="K37" s="2" t="s">
        <v>88</v>
      </c>
      <c r="L37" s="2"/>
      <c r="N37" s="6"/>
      <c r="T37" s="5"/>
      <c r="U37" s="5"/>
      <c r="V37" s="5"/>
      <c r="W37" s="5"/>
    </row>
    <row r="38" customFormat="false" ht="15.75" hidden="false" customHeight="false" outlineLevel="0" collapsed="false">
      <c r="A38" s="2" t="s">
        <v>89</v>
      </c>
      <c r="B38" s="3" t="n">
        <v>1.05</v>
      </c>
      <c r="C38" s="3" t="n">
        <v>1.07</v>
      </c>
      <c r="D38" s="3" t="n">
        <v>1.1</v>
      </c>
      <c r="E38" s="3" t="n">
        <v>1.13</v>
      </c>
      <c r="F38" s="3" t="n">
        <v>1.16</v>
      </c>
      <c r="G38" s="3" t="n">
        <v>1.18</v>
      </c>
      <c r="H38" s="3" t="n">
        <v>1.21</v>
      </c>
      <c r="I38" s="3" t="n">
        <v>1.24</v>
      </c>
      <c r="J38" s="3" t="n">
        <v>1.28</v>
      </c>
      <c r="K38" s="2" t="s">
        <v>90</v>
      </c>
      <c r="L38" s="2"/>
      <c r="N38" s="6"/>
      <c r="T38" s="5"/>
      <c r="U38" s="5"/>
      <c r="V38" s="5"/>
      <c r="W38" s="5"/>
    </row>
    <row r="39" customFormat="false" ht="15.75" hidden="false" customHeight="false" outlineLevel="0" collapsed="false">
      <c r="B39" s="8"/>
      <c r="N39" s="6"/>
    </row>
    <row r="40" customFormat="false" ht="15.75" hidden="false" customHeight="false" outlineLevel="0" collapsed="false">
      <c r="A40" s="7" t="s">
        <v>91</v>
      </c>
      <c r="N40" s="6"/>
    </row>
    <row r="41" customFormat="false" ht="15.75" hidden="false" customHeight="false" outlineLevel="0" collapsed="false">
      <c r="N41" s="6"/>
    </row>
    <row r="42" customFormat="false" ht="15.75" hidden="false" customHeight="false" outlineLevel="0" collapsed="false">
      <c r="N42" s="6"/>
    </row>
    <row r="43" customFormat="false" ht="15.75" hidden="false" customHeight="false" outlineLevel="0" collapsed="false">
      <c r="N43" s="6"/>
    </row>
    <row r="44" customFormat="false" ht="15.75" hidden="false" customHeight="false" outlineLevel="0" collapsed="false">
      <c r="N44" s="6"/>
    </row>
    <row r="45" customFormat="false" ht="15.75" hidden="false" customHeight="false" outlineLevel="0" collapsed="false">
      <c r="N45" s="6"/>
    </row>
    <row r="46" customFormat="false" ht="15.75" hidden="false" customHeight="false" outlineLevel="0" collapsed="false">
      <c r="N46" s="6"/>
    </row>
    <row r="47" customFormat="false" ht="15.75" hidden="false" customHeight="false" outlineLevel="0" collapsed="false">
      <c r="N47" s="6"/>
    </row>
    <row r="48" customFormat="false" ht="15.75" hidden="false" customHeight="false" outlineLevel="0" collapsed="false">
      <c r="N48" s="6"/>
    </row>
    <row r="49" customFormat="false" ht="15.75" hidden="false" customHeight="false" outlineLevel="0" collapsed="false">
      <c r="N49" s="6"/>
    </row>
    <row r="50" customFormat="false" ht="15.75" hidden="false" customHeight="false" outlineLevel="0" collapsed="false">
      <c r="N50" s="6"/>
    </row>
    <row r="51" customFormat="false" ht="15.75" hidden="false" customHeight="false" outlineLevel="0" collapsed="false">
      <c r="N51" s="6"/>
    </row>
    <row r="52" customFormat="false" ht="15.75" hidden="false" customHeight="false" outlineLevel="0" collapsed="false">
      <c r="N52" s="6"/>
    </row>
    <row r="53" customFormat="false" ht="15.75" hidden="false" customHeight="false" outlineLevel="0" collapsed="false">
      <c r="N53" s="6"/>
    </row>
    <row r="54" customFormat="false" ht="15.75" hidden="false" customHeight="false" outlineLevel="0" collapsed="false">
      <c r="N54" s="6"/>
    </row>
    <row r="55" customFormat="false" ht="15.75" hidden="false" customHeight="false" outlineLevel="0" collapsed="false">
      <c r="N55" s="6"/>
    </row>
    <row r="56" customFormat="false" ht="15.75" hidden="false" customHeight="false" outlineLevel="0" collapsed="false">
      <c r="N56" s="6"/>
    </row>
    <row r="57" customFormat="false" ht="15.75" hidden="false" customHeight="false" outlineLevel="0" collapsed="false">
      <c r="N57" s="6"/>
    </row>
    <row r="58" customFormat="false" ht="15.75" hidden="false" customHeight="false" outlineLevel="0" collapsed="false">
      <c r="N58" s="6"/>
    </row>
    <row r="59" customFormat="false" ht="15.75" hidden="false" customHeight="false" outlineLevel="0" collapsed="false">
      <c r="N59" s="6"/>
    </row>
    <row r="60" customFormat="false" ht="15.75" hidden="false" customHeight="false" outlineLevel="0" collapsed="false">
      <c r="N60" s="6"/>
    </row>
    <row r="61" customFormat="false" ht="15.75" hidden="false" customHeight="false" outlineLevel="0" collapsed="false">
      <c r="N61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4921875" defaultRowHeight="15.75" zeroHeight="false" outlineLevelRow="0" outlineLevelCol="0"/>
  <sheetData>
    <row r="1" customFormat="false" ht="15.75" hidden="false" customHeight="false" outlineLevel="0" collapsed="false">
      <c r="A1" s="6" t="s">
        <v>0</v>
      </c>
      <c r="B1" s="6" t="s">
        <v>92</v>
      </c>
      <c r="C1" s="6" t="s">
        <v>93</v>
      </c>
      <c r="D1" s="6" t="s">
        <v>94</v>
      </c>
      <c r="E1" s="6" t="s">
        <v>95</v>
      </c>
      <c r="F1" s="6" t="s">
        <v>96</v>
      </c>
      <c r="G1" s="6" t="s">
        <v>97</v>
      </c>
      <c r="H1" s="6" t="s">
        <v>98</v>
      </c>
      <c r="I1" s="6" t="s">
        <v>99</v>
      </c>
      <c r="J1" s="6" t="s">
        <v>100</v>
      </c>
      <c r="K1" s="6" t="s">
        <v>101</v>
      </c>
      <c r="L1" s="6" t="s">
        <v>102</v>
      </c>
      <c r="M1" s="6" t="s">
        <v>103</v>
      </c>
      <c r="N1" s="6" t="s">
        <v>104</v>
      </c>
      <c r="O1" s="6" t="s">
        <v>105</v>
      </c>
      <c r="P1" s="6" t="s">
        <v>106</v>
      </c>
    </row>
    <row r="2" customFormat="false" ht="15.75" hidden="false" customHeight="false" outlineLevel="0" collapsed="false">
      <c r="A2" s="6" t="s">
        <v>2</v>
      </c>
      <c r="B2" s="0" t="n">
        <v>0.2055</v>
      </c>
      <c r="C2" s="0" t="n">
        <v>0.0817</v>
      </c>
      <c r="D2" s="0" t="n">
        <v>0.015</v>
      </c>
      <c r="E2" s="0" t="n">
        <v>0.115</v>
      </c>
      <c r="F2" s="0" t="n">
        <v>0.1387</v>
      </c>
      <c r="G2" s="0" t="n">
        <v>0.0985</v>
      </c>
      <c r="H2" s="0" t="n">
        <v>0.0128</v>
      </c>
      <c r="I2" s="0" t="n">
        <v>0.1698</v>
      </c>
      <c r="J2" s="0" t="n">
        <v>0.0289</v>
      </c>
      <c r="K2" s="0" t="n">
        <v>0.0415</v>
      </c>
      <c r="L2" s="0" t="n">
        <v>0.0031</v>
      </c>
      <c r="M2" s="0" t="n">
        <v>0.0527</v>
      </c>
      <c r="N2" s="0" t="n">
        <v>0.0308</v>
      </c>
      <c r="O2" s="0" t="n">
        <v>0.0061</v>
      </c>
      <c r="P2" s="9" t="n">
        <f aca="false">SUM(B2:O2)</f>
        <v>1.0001</v>
      </c>
    </row>
    <row r="3" customFormat="false" ht="15.75" hidden="false" customHeight="false" outlineLevel="0" collapsed="false">
      <c r="A3" s="6" t="s">
        <v>7</v>
      </c>
      <c r="B3" s="0" t="n">
        <v>0.1019</v>
      </c>
      <c r="C3" s="0" t="n">
        <v>0.1957</v>
      </c>
      <c r="D3" s="0" t="n">
        <v>0.0286</v>
      </c>
      <c r="E3" s="0" t="n">
        <v>0.104</v>
      </c>
      <c r="F3" s="0" t="n">
        <v>0.17</v>
      </c>
      <c r="G3" s="0" t="n">
        <v>0.0137</v>
      </c>
      <c r="H3" s="0" t="n">
        <v>0.1108</v>
      </c>
      <c r="I3" s="0" t="n">
        <v>0.0609</v>
      </c>
      <c r="J3" s="0" t="n">
        <v>0.0209</v>
      </c>
      <c r="K3" s="0" t="n">
        <v>0.0044</v>
      </c>
      <c r="L3" s="0" t="n">
        <v>0.0268</v>
      </c>
      <c r="M3" s="0" t="n">
        <v>0.0325</v>
      </c>
      <c r="N3" s="0" t="n">
        <v>0.0047</v>
      </c>
      <c r="O3" s="0" t="n">
        <v>0.1251</v>
      </c>
      <c r="P3" s="9" t="n">
        <f aca="false">SUM(B3:O3)</f>
        <v>1</v>
      </c>
    </row>
    <row r="4" customFormat="false" ht="15.75" hidden="false" customHeight="false" outlineLevel="0" collapsed="false">
      <c r="A4" s="6" t="s">
        <v>10</v>
      </c>
      <c r="B4" s="0" t="n">
        <v>0.2236</v>
      </c>
      <c r="C4" s="0" t="n">
        <v>0.0015</v>
      </c>
      <c r="D4" s="0" t="n">
        <v>0.0223</v>
      </c>
      <c r="E4" s="0" t="n">
        <v>0.0198</v>
      </c>
      <c r="F4" s="0" t="n">
        <v>0.0416</v>
      </c>
      <c r="G4" s="0" t="n">
        <v>0.1995</v>
      </c>
      <c r="H4" s="0" t="n">
        <v>0.1104</v>
      </c>
      <c r="I4" s="0" t="n">
        <v>0.0373</v>
      </c>
      <c r="J4" s="0" t="n">
        <v>0.013</v>
      </c>
      <c r="K4" s="0" t="n">
        <v>0.1218</v>
      </c>
      <c r="L4" s="0" t="n">
        <v>0.0199</v>
      </c>
      <c r="M4" s="0" t="n">
        <v>0.033</v>
      </c>
      <c r="N4" s="0" t="n">
        <v>0.1199</v>
      </c>
      <c r="O4" s="0" t="n">
        <v>0.0364</v>
      </c>
      <c r="P4" s="9" t="n">
        <f aca="false">SUM(B4:O4)</f>
        <v>1</v>
      </c>
    </row>
    <row r="5" customFormat="false" ht="15.75" hidden="false" customHeight="false" outlineLevel="0" collapsed="false">
      <c r="A5" s="6" t="s">
        <v>14</v>
      </c>
      <c r="B5" s="0" t="n">
        <v>0.1035</v>
      </c>
      <c r="C5" s="0" t="n">
        <v>0.012</v>
      </c>
      <c r="D5" s="0" t="n">
        <v>0.0438</v>
      </c>
      <c r="E5" s="0" t="n">
        <v>0.0579</v>
      </c>
      <c r="F5" s="0" t="n">
        <v>0.02</v>
      </c>
      <c r="G5" s="0" t="n">
        <v>0.1543</v>
      </c>
      <c r="H5" s="0" t="n">
        <v>0.2235</v>
      </c>
      <c r="I5" s="0" t="n">
        <v>0.0098</v>
      </c>
      <c r="J5" s="0" t="n">
        <v>0.0797</v>
      </c>
      <c r="K5" s="0" t="n">
        <v>0.0495</v>
      </c>
      <c r="L5" s="0" t="n">
        <v>0.0903</v>
      </c>
      <c r="M5" s="0" t="n">
        <v>0.1194</v>
      </c>
      <c r="N5" s="0" t="n">
        <v>0.0006</v>
      </c>
      <c r="O5" s="0" t="n">
        <v>0.0356</v>
      </c>
      <c r="P5" s="9" t="n">
        <f aca="false">SUM(B5:O5)</f>
        <v>0.9999</v>
      </c>
    </row>
    <row r="6" customFormat="false" ht="15.75" hidden="false" customHeight="false" outlineLevel="0" collapsed="false">
      <c r="A6" s="6" t="s">
        <v>17</v>
      </c>
      <c r="B6" s="0" t="n">
        <v>0.0618</v>
      </c>
      <c r="C6" s="0" t="n">
        <v>0.1461</v>
      </c>
      <c r="D6" s="0" t="n">
        <v>0.0003</v>
      </c>
      <c r="E6" s="0" t="n">
        <v>0.2336</v>
      </c>
      <c r="F6" s="0" t="n">
        <v>0.0455</v>
      </c>
      <c r="G6" s="0" t="n">
        <v>0.0186</v>
      </c>
      <c r="H6" s="0" t="n">
        <v>0.0216</v>
      </c>
      <c r="I6" s="0" t="n">
        <v>0.0122</v>
      </c>
      <c r="J6" s="0" t="n">
        <v>0.0478</v>
      </c>
      <c r="K6" s="0" t="n">
        <v>0.0394</v>
      </c>
      <c r="L6" s="0" t="n">
        <v>0.1471</v>
      </c>
      <c r="M6" s="0" t="n">
        <v>0.0067</v>
      </c>
      <c r="N6" s="0" t="n">
        <v>0.1868</v>
      </c>
      <c r="O6" s="0" t="n">
        <v>0.0324</v>
      </c>
      <c r="P6" s="9" t="n">
        <f aca="false">SUM(B6:O6)</f>
        <v>0.9999</v>
      </c>
    </row>
    <row r="7" customFormat="false" ht="15.75" hidden="false" customHeight="false" outlineLevel="0" collapsed="false">
      <c r="A7" s="6" t="s">
        <v>21</v>
      </c>
      <c r="B7" s="0" t="n">
        <v>0.0049</v>
      </c>
      <c r="C7" s="0" t="n">
        <v>0.0316</v>
      </c>
      <c r="D7" s="0" t="n">
        <v>0.0622</v>
      </c>
      <c r="E7" s="0" t="n">
        <v>0.1299</v>
      </c>
      <c r="F7" s="0" t="n">
        <v>0.01</v>
      </c>
      <c r="G7" s="0" t="n">
        <v>0.0127</v>
      </c>
      <c r="H7" s="0" t="n">
        <v>0.04</v>
      </c>
      <c r="I7" s="0" t="n">
        <v>0.1519</v>
      </c>
      <c r="J7" s="0" t="n">
        <v>0.0575</v>
      </c>
      <c r="K7" s="0" t="n">
        <v>0.0537</v>
      </c>
      <c r="L7" s="0" t="n">
        <v>0.1038</v>
      </c>
      <c r="M7" s="0" t="n">
        <v>0.0407</v>
      </c>
      <c r="N7" s="0" t="n">
        <v>0.3</v>
      </c>
      <c r="O7" s="0" t="n">
        <v>0.0011</v>
      </c>
      <c r="P7" s="9" t="n">
        <f aca="false">SUM(B7:O7)</f>
        <v>1</v>
      </c>
    </row>
    <row r="8" customFormat="false" ht="15.75" hidden="false" customHeight="false" outlineLevel="0" collapsed="false">
      <c r="A8" s="6" t="s">
        <v>25</v>
      </c>
      <c r="B8" s="0" t="n">
        <v>0.0625</v>
      </c>
      <c r="C8" s="0" t="n">
        <v>0.0169</v>
      </c>
      <c r="D8" s="0" t="n">
        <v>0.0213</v>
      </c>
      <c r="E8" s="0" t="n">
        <v>0.1089</v>
      </c>
      <c r="F8" s="0" t="n">
        <v>0.0156</v>
      </c>
      <c r="G8" s="0" t="n">
        <v>0.0798</v>
      </c>
      <c r="H8" s="0" t="n">
        <v>0.0086</v>
      </c>
      <c r="I8" s="0" t="n">
        <v>0.0362</v>
      </c>
      <c r="J8" s="0" t="n">
        <v>0.142</v>
      </c>
      <c r="K8" s="0" t="n">
        <v>0.0386</v>
      </c>
      <c r="L8" s="0" t="n">
        <v>0.0823</v>
      </c>
      <c r="M8" s="0" t="n">
        <v>0.157</v>
      </c>
      <c r="N8" s="0" t="n">
        <v>0.0709</v>
      </c>
      <c r="O8" s="0" t="n">
        <v>0.1591</v>
      </c>
      <c r="P8" s="9" t="n">
        <f aca="false">SUM(B8:O8)</f>
        <v>0.9997</v>
      </c>
    </row>
    <row r="9" customFormat="false" ht="15.75" hidden="false" customHeight="false" outlineLevel="0" collapsed="false">
      <c r="A9" s="6" t="s">
        <v>29</v>
      </c>
      <c r="B9" s="0" t="n">
        <v>0.0642</v>
      </c>
      <c r="C9" s="0" t="n">
        <v>0.1461</v>
      </c>
      <c r="D9" s="0" t="n">
        <v>0.0045</v>
      </c>
      <c r="E9" s="0" t="n">
        <v>0.1387</v>
      </c>
      <c r="F9" s="0" t="n">
        <v>0.0914</v>
      </c>
      <c r="G9" s="0" t="n">
        <v>0.0234</v>
      </c>
      <c r="H9" s="0" t="n">
        <v>0.0446</v>
      </c>
      <c r="I9" s="0" t="n">
        <v>0.0387</v>
      </c>
      <c r="J9" s="0" t="n">
        <v>0.0573</v>
      </c>
      <c r="K9" s="0" t="n">
        <v>0.0003</v>
      </c>
      <c r="L9" s="0" t="n">
        <v>0.2096</v>
      </c>
      <c r="M9" s="0" t="n">
        <v>0.0139</v>
      </c>
      <c r="N9" s="0" t="n">
        <v>0.1474</v>
      </c>
      <c r="O9" s="0" t="n">
        <v>0.02</v>
      </c>
      <c r="P9" s="9" t="n">
        <f aca="false">SUM(B9:O9)</f>
        <v>1.0001</v>
      </c>
    </row>
    <row r="10" customFormat="false" ht="15.75" hidden="false" customHeight="false" outlineLevel="0" collapsed="false">
      <c r="A10" s="6" t="s">
        <v>33</v>
      </c>
      <c r="B10" s="0" t="n">
        <v>0.0249</v>
      </c>
      <c r="C10" s="0" t="n">
        <v>0.0838</v>
      </c>
      <c r="D10" s="0" t="n">
        <v>0.0073</v>
      </c>
      <c r="E10" s="0" t="n">
        <v>0.093</v>
      </c>
      <c r="F10" s="0" t="n">
        <v>0.1</v>
      </c>
      <c r="G10" s="0" t="n">
        <v>0.064</v>
      </c>
      <c r="H10" s="0" t="n">
        <v>0.039</v>
      </c>
      <c r="I10" s="0" t="n">
        <v>0.1569</v>
      </c>
      <c r="J10" s="0" t="n">
        <v>0.0449</v>
      </c>
      <c r="K10" s="0" t="n">
        <v>0.003</v>
      </c>
      <c r="L10" s="0" t="n">
        <v>0.1893</v>
      </c>
      <c r="M10" s="0" t="n">
        <v>0.0162</v>
      </c>
      <c r="N10" s="0" t="n">
        <v>0.0536</v>
      </c>
      <c r="O10" s="0" t="n">
        <v>0.1242</v>
      </c>
      <c r="P10" s="9" t="n">
        <f aca="false">SUM(B10:O10)</f>
        <v>1.0001</v>
      </c>
    </row>
    <row r="11" customFormat="false" ht="15.75" hidden="false" customHeight="false" outlineLevel="0" collapsed="false">
      <c r="A11" s="6" t="s">
        <v>36</v>
      </c>
      <c r="B11" s="0" t="n">
        <v>0.0242</v>
      </c>
      <c r="C11" s="0" t="n">
        <v>0.0374</v>
      </c>
      <c r="D11" s="0" t="n">
        <v>0.1025</v>
      </c>
      <c r="E11" s="0" t="n">
        <v>0.1731</v>
      </c>
      <c r="F11" s="0" t="n">
        <v>0.0388</v>
      </c>
      <c r="G11" s="0" t="n">
        <v>0.1329</v>
      </c>
      <c r="H11" s="0" t="n">
        <v>0.1209</v>
      </c>
      <c r="I11" s="0" t="n">
        <v>0.0564</v>
      </c>
      <c r="J11" s="0" t="n">
        <v>0.0846</v>
      </c>
      <c r="K11" s="0" t="n">
        <v>0.0251</v>
      </c>
      <c r="L11" s="0" t="n">
        <v>0.1163</v>
      </c>
      <c r="M11" s="0" t="n">
        <v>0.017</v>
      </c>
      <c r="N11" s="0" t="n">
        <v>0.0405</v>
      </c>
      <c r="O11" s="0" t="n">
        <v>0.0304</v>
      </c>
      <c r="P11" s="9" t="n">
        <f aca="false">SUM(B11:O11)</f>
        <v>1.0001</v>
      </c>
    </row>
    <row r="12" customFormat="false" ht="15.75" hidden="false" customHeight="false" outlineLevel="0" collapsed="false">
      <c r="A12" s="6" t="s">
        <v>40</v>
      </c>
      <c r="B12" s="0" t="n">
        <v>0.0089</v>
      </c>
      <c r="C12" s="0" t="n">
        <v>0.0093</v>
      </c>
      <c r="D12" s="0" t="n">
        <v>0.0576</v>
      </c>
      <c r="E12" s="0" t="n">
        <v>0.1563</v>
      </c>
      <c r="F12" s="0" t="n">
        <v>0.1401</v>
      </c>
      <c r="G12" s="0" t="n">
        <v>0.1327</v>
      </c>
      <c r="H12" s="0" t="n">
        <v>0.0001</v>
      </c>
      <c r="I12" s="0" t="n">
        <v>0.0311</v>
      </c>
      <c r="J12" s="0" t="n">
        <v>0.2704</v>
      </c>
      <c r="K12" s="0" t="n">
        <v>0.0335</v>
      </c>
      <c r="L12" s="0" t="n">
        <v>0.0237</v>
      </c>
      <c r="M12" s="0" t="n">
        <v>0.0044</v>
      </c>
      <c r="N12" s="0" t="n">
        <v>0.1122</v>
      </c>
      <c r="O12" s="0" t="n">
        <v>0.0198</v>
      </c>
      <c r="P12" s="9" t="n">
        <f aca="false">SUM(B12:O12)</f>
        <v>1.0001</v>
      </c>
    </row>
    <row r="13" customFormat="false" ht="15.75" hidden="false" customHeight="false" outlineLevel="0" collapsed="false">
      <c r="A13" s="6" t="s">
        <v>44</v>
      </c>
      <c r="B13" s="0" t="n">
        <v>0.0132</v>
      </c>
      <c r="C13" s="0" t="n">
        <v>0.2871</v>
      </c>
      <c r="D13" s="0" t="n">
        <v>0.0564</v>
      </c>
      <c r="E13" s="0" t="n">
        <v>0.0295</v>
      </c>
      <c r="F13" s="0" t="n">
        <v>0.0335</v>
      </c>
      <c r="G13" s="0" t="n">
        <v>0.0634</v>
      </c>
      <c r="H13" s="0" t="n">
        <v>0.1139</v>
      </c>
      <c r="I13" s="0" t="n">
        <v>0.0301</v>
      </c>
      <c r="J13" s="0" t="n">
        <v>0.0183</v>
      </c>
      <c r="K13" s="0" t="n">
        <v>0.1292</v>
      </c>
      <c r="L13" s="0" t="n">
        <v>0.0757</v>
      </c>
      <c r="M13" s="0" t="n">
        <v>0.0468</v>
      </c>
      <c r="N13" s="0" t="n">
        <v>0.0739</v>
      </c>
      <c r="O13" s="0" t="n">
        <v>0.029</v>
      </c>
      <c r="P13" s="9" t="n">
        <f aca="false">SUM(B13:O13)</f>
        <v>1</v>
      </c>
    </row>
    <row r="14" customFormat="false" ht="15.75" hidden="false" customHeight="false" outlineLevel="0" collapsed="false">
      <c r="A14" s="6" t="s">
        <v>47</v>
      </c>
      <c r="B14" s="0" t="n">
        <v>0.0867</v>
      </c>
      <c r="C14" s="0" t="n">
        <v>0.0011</v>
      </c>
      <c r="D14" s="0" t="n">
        <v>0.0357</v>
      </c>
      <c r="E14" s="0" t="n">
        <v>0.1578</v>
      </c>
      <c r="F14" s="0" t="n">
        <v>0.0873</v>
      </c>
      <c r="G14" s="0" t="n">
        <v>0.0808</v>
      </c>
      <c r="H14" s="0" t="n">
        <v>0.233</v>
      </c>
      <c r="I14" s="0" t="n">
        <v>0.0495</v>
      </c>
      <c r="J14" s="0" t="n">
        <v>0.0086</v>
      </c>
      <c r="K14" s="0" t="n">
        <v>0.0042</v>
      </c>
      <c r="L14" s="0" t="n">
        <v>0.0587</v>
      </c>
      <c r="M14" s="0" t="n">
        <v>0.0231</v>
      </c>
      <c r="N14" s="0" t="n">
        <v>0.1129</v>
      </c>
      <c r="O14" s="0" t="n">
        <v>0.0607</v>
      </c>
      <c r="P14" s="9" t="n">
        <f aca="false">SUM(B14:O14)</f>
        <v>1.0001</v>
      </c>
    </row>
    <row r="15" customFormat="false" ht="15.75" hidden="false" customHeight="false" outlineLevel="0" collapsed="false">
      <c r="A15" s="6" t="s">
        <v>51</v>
      </c>
      <c r="B15" s="0" t="n">
        <v>0.0095</v>
      </c>
      <c r="C15" s="0" t="n">
        <v>0.0529</v>
      </c>
      <c r="D15" s="0" t="n">
        <v>0.0876</v>
      </c>
      <c r="E15" s="0" t="n">
        <v>0.0932</v>
      </c>
      <c r="F15" s="0" t="n">
        <v>0.013</v>
      </c>
      <c r="G15" s="0" t="n">
        <v>0.0106</v>
      </c>
      <c r="H15" s="0" t="n">
        <v>0.0624</v>
      </c>
      <c r="I15" s="0" t="n">
        <v>0.0576</v>
      </c>
      <c r="J15" s="0" t="n">
        <v>0.0829</v>
      </c>
      <c r="K15" s="0" t="n">
        <v>0.0263</v>
      </c>
      <c r="L15" s="0" t="n">
        <v>0.0317</v>
      </c>
      <c r="M15" s="0" t="n">
        <v>0.2388</v>
      </c>
      <c r="N15" s="0" t="n">
        <v>0.2301</v>
      </c>
      <c r="O15" s="0" t="n">
        <v>0.0035</v>
      </c>
      <c r="P15" s="9" t="n">
        <f aca="false">SUM(B15:O15)</f>
        <v>1.0001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4921875" defaultRowHeight="15.75" zeroHeight="false" outlineLevelRow="0" outlineLevelCol="0"/>
  <sheetData>
    <row r="1" customFormat="false" ht="15.75" hidden="false" customHeight="false" outlineLevel="0" collapsed="false">
      <c r="A1" s="10" t="s">
        <v>0</v>
      </c>
      <c r="B1" s="11" t="s">
        <v>107</v>
      </c>
      <c r="C1" s="11" t="s">
        <v>108</v>
      </c>
      <c r="D1" s="11" t="s">
        <v>109</v>
      </c>
      <c r="E1" s="11" t="s">
        <v>110</v>
      </c>
      <c r="F1" s="11" t="s">
        <v>111</v>
      </c>
      <c r="G1" s="11" t="s">
        <v>112</v>
      </c>
      <c r="H1" s="11" t="s">
        <v>113</v>
      </c>
      <c r="I1" s="11" t="s">
        <v>114</v>
      </c>
    </row>
    <row r="2" customFormat="false" ht="15.75" hidden="false" customHeight="false" outlineLevel="0" collapsed="false">
      <c r="A2" s="10" t="s">
        <v>2</v>
      </c>
      <c r="B2" s="12" t="n">
        <v>12.5</v>
      </c>
      <c r="C2" s="12" t="n">
        <v>2</v>
      </c>
      <c r="D2" s="12" t="n">
        <v>17</v>
      </c>
      <c r="E2" s="12" t="n">
        <v>4</v>
      </c>
      <c r="F2" s="12" t="n">
        <v>2</v>
      </c>
      <c r="G2" s="12" t="n">
        <v>8</v>
      </c>
      <c r="H2" s="12" t="n">
        <v>4</v>
      </c>
      <c r="I2" s="12" t="n">
        <v>9</v>
      </c>
    </row>
    <row r="3" customFormat="false" ht="15.75" hidden="false" customHeight="false" outlineLevel="0" collapsed="false">
      <c r="A3" s="10" t="s">
        <v>5</v>
      </c>
      <c r="B3" s="12" t="n">
        <v>9.4</v>
      </c>
      <c r="C3" s="12" t="n">
        <v>1</v>
      </c>
      <c r="D3" s="12" t="n">
        <v>13</v>
      </c>
      <c r="E3" s="12" t="n">
        <v>4</v>
      </c>
      <c r="F3" s="12" t="n">
        <v>0</v>
      </c>
      <c r="G3" s="12" t="n">
        <v>8</v>
      </c>
      <c r="H3" s="12" t="n">
        <v>2</v>
      </c>
      <c r="I3" s="12" t="n">
        <v>6</v>
      </c>
    </row>
    <row r="4" customFormat="false" ht="15.75" hidden="false" customHeight="false" outlineLevel="0" collapsed="false">
      <c r="A4" s="10" t="s">
        <v>7</v>
      </c>
      <c r="B4" s="12" t="n">
        <v>19.1</v>
      </c>
      <c r="C4" s="12" t="n">
        <v>2</v>
      </c>
      <c r="D4" s="12" t="n">
        <v>15</v>
      </c>
      <c r="E4" s="12" t="n">
        <v>6</v>
      </c>
      <c r="F4" s="12" t="n">
        <v>1</v>
      </c>
      <c r="G4" s="12" t="n">
        <v>13</v>
      </c>
      <c r="H4" s="12" t="n">
        <v>4</v>
      </c>
      <c r="I4" s="12" t="n">
        <v>8</v>
      </c>
    </row>
    <row r="5" customFormat="false" ht="15.75" hidden="false" customHeight="false" outlineLevel="0" collapsed="false">
      <c r="A5" s="10" t="s">
        <v>79</v>
      </c>
      <c r="B5" s="12" t="n">
        <v>20.9</v>
      </c>
      <c r="C5" s="12" t="n">
        <v>2</v>
      </c>
      <c r="D5" s="12" t="n">
        <v>20</v>
      </c>
      <c r="E5" s="12" t="n">
        <v>2</v>
      </c>
      <c r="F5" s="12" t="n">
        <v>1</v>
      </c>
      <c r="G5" s="12" t="n">
        <v>6</v>
      </c>
      <c r="H5" s="12" t="n">
        <v>2</v>
      </c>
      <c r="I5" s="12" t="n">
        <v>14</v>
      </c>
    </row>
    <row r="6" customFormat="false" ht="15.75" hidden="false" customHeight="false" outlineLevel="0" collapsed="false">
      <c r="A6" s="10" t="s">
        <v>12</v>
      </c>
      <c r="B6" s="12" t="n">
        <v>26.8</v>
      </c>
      <c r="C6" s="12" t="n">
        <v>2</v>
      </c>
      <c r="D6" s="12" t="n">
        <v>21</v>
      </c>
      <c r="E6" s="12" t="n">
        <v>3</v>
      </c>
      <c r="F6" s="12" t="n">
        <v>0</v>
      </c>
      <c r="G6" s="12" t="n">
        <v>7</v>
      </c>
      <c r="H6" s="12" t="n">
        <v>2</v>
      </c>
      <c r="I6" s="12" t="n">
        <v>10</v>
      </c>
    </row>
    <row r="7" customFormat="false" ht="15.75" hidden="false" customHeight="false" outlineLevel="0" collapsed="false">
      <c r="A7" s="10" t="s">
        <v>10</v>
      </c>
      <c r="B7" s="12" t="n">
        <v>5.2</v>
      </c>
      <c r="C7" s="12" t="n">
        <v>1</v>
      </c>
      <c r="D7" s="12" t="n">
        <v>15</v>
      </c>
      <c r="E7" s="12" t="n">
        <v>4</v>
      </c>
      <c r="F7" s="12" t="n">
        <v>0</v>
      </c>
      <c r="G7" s="12" t="n">
        <v>6</v>
      </c>
      <c r="H7" s="12" t="n">
        <v>5</v>
      </c>
      <c r="I7" s="12" t="n">
        <v>6</v>
      </c>
    </row>
    <row r="8" customFormat="false" ht="15.75" hidden="false" customHeight="false" outlineLevel="0" collapsed="false">
      <c r="A8" s="10" t="s">
        <v>19</v>
      </c>
      <c r="B8" s="12" t="n">
        <v>14.2</v>
      </c>
      <c r="C8" s="12" t="n">
        <v>2</v>
      </c>
      <c r="D8" s="12" t="n">
        <v>18</v>
      </c>
      <c r="E8" s="12" t="n">
        <v>3</v>
      </c>
      <c r="F8" s="12" t="n">
        <v>0</v>
      </c>
      <c r="G8" s="12" t="n">
        <v>6</v>
      </c>
      <c r="H8" s="12" t="n">
        <v>3</v>
      </c>
      <c r="I8" s="12" t="n">
        <v>9</v>
      </c>
    </row>
    <row r="9" customFormat="false" ht="15.75" hidden="false" customHeight="false" outlineLevel="0" collapsed="false">
      <c r="A9" s="10" t="s">
        <v>23</v>
      </c>
      <c r="B9" s="12" t="n">
        <v>19</v>
      </c>
      <c r="C9" s="12" t="n">
        <v>2</v>
      </c>
      <c r="D9" s="12" t="n">
        <v>19</v>
      </c>
      <c r="E9" s="12" t="n">
        <v>3</v>
      </c>
      <c r="F9" s="12" t="n">
        <v>0</v>
      </c>
      <c r="G9" s="12" t="n">
        <v>5</v>
      </c>
      <c r="H9" s="12" t="n">
        <v>2</v>
      </c>
      <c r="I9" s="12" t="n">
        <v>9</v>
      </c>
    </row>
    <row r="10" customFormat="false" ht="15.75" hidden="false" customHeight="false" outlineLevel="0" collapsed="false">
      <c r="A10" s="10" t="s">
        <v>31</v>
      </c>
      <c r="B10" s="12" t="n">
        <v>9.1</v>
      </c>
      <c r="C10" s="12" t="n">
        <v>2</v>
      </c>
      <c r="D10" s="12" t="n">
        <v>17</v>
      </c>
      <c r="E10" s="12" t="n">
        <v>3</v>
      </c>
      <c r="F10" s="12" t="n">
        <v>0</v>
      </c>
      <c r="G10" s="12" t="n">
        <v>4</v>
      </c>
      <c r="H10" s="12" t="n">
        <v>4</v>
      </c>
      <c r="I10" s="12" t="n">
        <v>7</v>
      </c>
    </row>
    <row r="11" customFormat="false" ht="15.75" hidden="false" customHeight="false" outlineLevel="0" collapsed="false">
      <c r="A11" s="10" t="s">
        <v>14</v>
      </c>
      <c r="B11" s="12" t="n">
        <v>15.2</v>
      </c>
      <c r="C11" s="12" t="n">
        <v>2</v>
      </c>
      <c r="D11" s="12" t="n">
        <v>15</v>
      </c>
      <c r="E11" s="12" t="n">
        <v>7</v>
      </c>
      <c r="F11" s="12" t="n">
        <v>0</v>
      </c>
      <c r="G11" s="12" t="n">
        <v>7</v>
      </c>
      <c r="H11" s="12" t="n">
        <v>3</v>
      </c>
      <c r="I11" s="12" t="n">
        <v>9</v>
      </c>
    </row>
    <row r="12" customFormat="false" ht="15.75" hidden="false" customHeight="false" outlineLevel="0" collapsed="false">
      <c r="A12" s="10" t="s">
        <v>38</v>
      </c>
      <c r="B12" s="12" t="n">
        <v>26</v>
      </c>
      <c r="C12" s="12" t="n">
        <v>2</v>
      </c>
      <c r="D12" s="12" t="n">
        <v>19</v>
      </c>
      <c r="E12" s="12" t="n">
        <v>3</v>
      </c>
      <c r="F12" s="12" t="n">
        <v>3</v>
      </c>
      <c r="G12" s="12" t="n">
        <v>6</v>
      </c>
      <c r="H12" s="12" t="n">
        <v>2</v>
      </c>
      <c r="I12" s="12" t="n">
        <v>16</v>
      </c>
    </row>
    <row r="13" customFormat="false" ht="15.75" hidden="false" customHeight="false" outlineLevel="0" collapsed="false">
      <c r="A13" s="10" t="s">
        <v>17</v>
      </c>
      <c r="B13" s="12" t="n">
        <v>13.1</v>
      </c>
      <c r="C13" s="12" t="n">
        <v>2</v>
      </c>
      <c r="D13" s="12" t="n">
        <v>17</v>
      </c>
      <c r="E13" s="12" t="n">
        <v>4</v>
      </c>
      <c r="F13" s="12" t="n">
        <v>1</v>
      </c>
      <c r="G13" s="12" t="n">
        <v>5</v>
      </c>
      <c r="H13" s="12" t="n">
        <v>4</v>
      </c>
      <c r="I13" s="12" t="n">
        <v>11</v>
      </c>
    </row>
    <row r="14" customFormat="false" ht="15.75" hidden="false" customHeight="false" outlineLevel="0" collapsed="false">
      <c r="A14" s="10" t="s">
        <v>42</v>
      </c>
      <c r="B14" s="12" t="n">
        <v>18</v>
      </c>
      <c r="C14" s="12" t="n">
        <v>2</v>
      </c>
      <c r="D14" s="12" t="n">
        <v>18</v>
      </c>
      <c r="E14" s="12" t="n">
        <v>3</v>
      </c>
      <c r="F14" s="12" t="n">
        <v>1</v>
      </c>
      <c r="G14" s="12" t="n">
        <v>6</v>
      </c>
      <c r="H14" s="12" t="n">
        <v>2</v>
      </c>
      <c r="I14" s="12" t="n">
        <v>12</v>
      </c>
    </row>
    <row r="15" customFormat="false" ht="15.75" hidden="false" customHeight="false" outlineLevel="0" collapsed="false">
      <c r="A15" s="10" t="s">
        <v>53</v>
      </c>
      <c r="B15" s="12" t="n">
        <v>18.9</v>
      </c>
      <c r="C15" s="12" t="n">
        <v>2</v>
      </c>
      <c r="D15" s="12" t="n">
        <v>17</v>
      </c>
      <c r="E15" s="12" t="n">
        <v>4</v>
      </c>
      <c r="F15" s="12" t="n">
        <v>0</v>
      </c>
      <c r="G15" s="12" t="n">
        <v>5</v>
      </c>
      <c r="H15" s="12" t="n">
        <v>3</v>
      </c>
      <c r="I15" s="12" t="n">
        <v>9</v>
      </c>
    </row>
    <row r="16" customFormat="false" ht="15.75" hidden="false" customHeight="false" outlineLevel="0" collapsed="false">
      <c r="A16" s="10" t="s">
        <v>60</v>
      </c>
      <c r="B16" s="12" t="n">
        <v>15.5</v>
      </c>
      <c r="C16" s="12" t="n">
        <v>2</v>
      </c>
      <c r="D16" s="12" t="n">
        <v>20</v>
      </c>
      <c r="E16" s="12" t="n">
        <v>3</v>
      </c>
      <c r="F16" s="12" t="n">
        <v>1</v>
      </c>
      <c r="G16" s="12" t="n">
        <v>7</v>
      </c>
      <c r="H16" s="12" t="n">
        <v>2</v>
      </c>
      <c r="I16" s="12" t="n">
        <v>14</v>
      </c>
    </row>
    <row r="17" customFormat="false" ht="15.75" hidden="false" customHeight="false" outlineLevel="0" collapsed="false">
      <c r="A17" s="10" t="s">
        <v>68</v>
      </c>
      <c r="B17" s="12" t="n">
        <v>19.4</v>
      </c>
      <c r="C17" s="12" t="n">
        <v>2</v>
      </c>
      <c r="D17" s="12" t="n">
        <v>19</v>
      </c>
      <c r="E17" s="12" t="n">
        <v>3</v>
      </c>
      <c r="F17" s="12" t="n">
        <v>1</v>
      </c>
      <c r="G17" s="12" t="n">
        <v>7</v>
      </c>
      <c r="H17" s="12" t="n">
        <v>2</v>
      </c>
      <c r="I17" s="12" t="n">
        <v>14</v>
      </c>
    </row>
    <row r="18" customFormat="false" ht="15.75" hidden="false" customHeight="false" outlineLevel="0" collapsed="false">
      <c r="A18" s="10" t="s">
        <v>75</v>
      </c>
      <c r="B18" s="12" t="n">
        <v>17.8</v>
      </c>
      <c r="C18" s="12" t="n">
        <v>2</v>
      </c>
      <c r="D18" s="12" t="n">
        <v>19</v>
      </c>
      <c r="E18" s="12" t="n">
        <v>3</v>
      </c>
      <c r="F18" s="12" t="n">
        <v>2</v>
      </c>
      <c r="G18" s="12" t="n">
        <v>6</v>
      </c>
      <c r="H18" s="12" t="n">
        <v>2</v>
      </c>
      <c r="I18" s="12" t="n">
        <v>14</v>
      </c>
    </row>
    <row r="19" customFormat="false" ht="15.75" hidden="false" customHeight="false" outlineLevel="0" collapsed="false">
      <c r="A19" s="10" t="s">
        <v>29</v>
      </c>
      <c r="B19" s="12" t="n">
        <v>22.9</v>
      </c>
      <c r="C19" s="12" t="n">
        <v>2</v>
      </c>
      <c r="D19" s="12" t="n">
        <v>17</v>
      </c>
      <c r="E19" s="12" t="n">
        <v>4</v>
      </c>
      <c r="F19" s="12" t="n">
        <v>1</v>
      </c>
      <c r="G19" s="12" t="n">
        <v>6</v>
      </c>
      <c r="H19" s="12" t="n">
        <v>3</v>
      </c>
      <c r="I19" s="12" t="n">
        <v>9</v>
      </c>
    </row>
    <row r="20" customFormat="false" ht="15.75" hidden="false" customHeight="false" outlineLevel="0" collapsed="false">
      <c r="A20" s="10" t="s">
        <v>33</v>
      </c>
      <c r="B20" s="12" t="n">
        <v>28.1</v>
      </c>
      <c r="C20" s="12" t="n">
        <v>2</v>
      </c>
      <c r="D20" s="12" t="n">
        <v>26</v>
      </c>
      <c r="E20" s="12" t="n">
        <v>3</v>
      </c>
      <c r="F20" s="12" t="n">
        <v>1</v>
      </c>
      <c r="G20" s="12" t="n">
        <v>6</v>
      </c>
      <c r="H20" s="12" t="n">
        <v>3</v>
      </c>
      <c r="I20" s="12" t="n">
        <v>12</v>
      </c>
    </row>
    <row r="21" customFormat="false" ht="15.75" hidden="false" customHeight="false" outlineLevel="0" collapsed="false">
      <c r="A21" s="10" t="s">
        <v>62</v>
      </c>
      <c r="B21" s="12" t="n">
        <v>23.1</v>
      </c>
      <c r="C21" s="12" t="n">
        <v>2</v>
      </c>
      <c r="D21" s="12" t="n">
        <v>21</v>
      </c>
      <c r="E21" s="12" t="n">
        <v>3</v>
      </c>
      <c r="F21" s="12" t="n">
        <v>1</v>
      </c>
      <c r="G21" s="12" t="n">
        <v>4</v>
      </c>
      <c r="H21" s="12" t="n">
        <v>7</v>
      </c>
      <c r="I21" s="12" t="n">
        <v>12</v>
      </c>
    </row>
    <row r="22" customFormat="false" ht="15.75" hidden="false" customHeight="false" outlineLevel="0" collapsed="false">
      <c r="A22" s="10" t="s">
        <v>36</v>
      </c>
      <c r="B22" s="12" t="n">
        <v>20.2</v>
      </c>
      <c r="C22" s="12" t="n">
        <v>2</v>
      </c>
      <c r="D22" s="12" t="n">
        <v>18</v>
      </c>
      <c r="E22" s="12" t="n">
        <v>4</v>
      </c>
      <c r="F22" s="12" t="n">
        <v>1</v>
      </c>
      <c r="G22" s="12" t="n">
        <v>6</v>
      </c>
      <c r="H22" s="12" t="n">
        <v>4</v>
      </c>
      <c r="I22" s="12" t="n">
        <v>10</v>
      </c>
    </row>
    <row r="23" customFormat="false" ht="15.75" hidden="false" customHeight="false" outlineLevel="0" collapsed="false">
      <c r="A23" s="10" t="s">
        <v>40</v>
      </c>
      <c r="B23" s="12" t="n">
        <v>15.1</v>
      </c>
      <c r="C23" s="12" t="n">
        <v>2</v>
      </c>
      <c r="D23" s="12" t="n">
        <v>14</v>
      </c>
      <c r="E23" s="12" t="n">
        <v>8</v>
      </c>
      <c r="F23" s="12" t="n">
        <v>0</v>
      </c>
      <c r="G23" s="12" t="n">
        <v>9</v>
      </c>
      <c r="H23" s="12" t="n">
        <v>3</v>
      </c>
      <c r="I23" s="12" t="n">
        <v>7</v>
      </c>
    </row>
    <row r="24" customFormat="false" ht="15.75" hidden="false" customHeight="false" outlineLevel="0" collapsed="false">
      <c r="A24" s="10" t="s">
        <v>44</v>
      </c>
      <c r="B24" s="12" t="n">
        <v>27.8</v>
      </c>
      <c r="C24" s="12" t="n">
        <v>2</v>
      </c>
      <c r="D24" s="12" t="n">
        <v>18</v>
      </c>
      <c r="E24" s="12" t="n">
        <v>3</v>
      </c>
      <c r="F24" s="12" t="n">
        <v>2</v>
      </c>
      <c r="G24" s="12" t="n">
        <v>6</v>
      </c>
      <c r="H24" s="12" t="n">
        <v>3</v>
      </c>
      <c r="I24" s="12" t="n">
        <v>11</v>
      </c>
    </row>
    <row r="25" customFormat="false" ht="15.75" hidden="false" customHeight="false" outlineLevel="0" collapsed="false">
      <c r="A25" s="10" t="s">
        <v>71</v>
      </c>
      <c r="B25" s="12" t="n">
        <v>7.8</v>
      </c>
      <c r="C25" s="12" t="n">
        <v>2</v>
      </c>
      <c r="D25" s="12" t="n">
        <v>18</v>
      </c>
      <c r="E25" s="12" t="n">
        <v>4</v>
      </c>
      <c r="F25" s="12" t="n">
        <v>1</v>
      </c>
      <c r="G25" s="12" t="n">
        <v>4</v>
      </c>
      <c r="H25" s="12" t="n">
        <v>3</v>
      </c>
      <c r="I25" s="12" t="n">
        <v>9</v>
      </c>
    </row>
    <row r="26" customFormat="false" ht="15.75" hidden="false" customHeight="false" outlineLevel="0" collapsed="false">
      <c r="A26" s="10" t="s">
        <v>73</v>
      </c>
      <c r="B26" s="12" t="n">
        <v>9.9</v>
      </c>
      <c r="C26" s="12" t="n">
        <v>2</v>
      </c>
      <c r="D26" s="12" t="n">
        <v>14</v>
      </c>
      <c r="E26" s="12" t="n">
        <v>3</v>
      </c>
      <c r="F26" s="12" t="n">
        <v>0</v>
      </c>
      <c r="G26" s="12" t="n">
        <v>4</v>
      </c>
      <c r="H26" s="12" t="n">
        <v>5</v>
      </c>
      <c r="I26" s="12" t="n">
        <v>7</v>
      </c>
    </row>
    <row r="27" customFormat="false" ht="15.75" hidden="false" customHeight="false" outlineLevel="0" collapsed="false">
      <c r="A27" s="10" t="s">
        <v>77</v>
      </c>
      <c r="B27" s="12" t="n">
        <v>17</v>
      </c>
      <c r="C27" s="12" t="n">
        <v>2</v>
      </c>
      <c r="D27" s="12" t="n">
        <v>18</v>
      </c>
      <c r="E27" s="12" t="n">
        <v>3</v>
      </c>
      <c r="F27" s="12" t="n">
        <v>0</v>
      </c>
      <c r="G27" s="12" t="n">
        <v>6</v>
      </c>
      <c r="H27" s="12" t="n">
        <v>3</v>
      </c>
      <c r="I27" s="12" t="n">
        <v>11</v>
      </c>
    </row>
    <row r="28" customFormat="false" ht="15.75" hidden="false" customHeight="false" outlineLevel="0" collapsed="false">
      <c r="A28" s="10" t="s">
        <v>27</v>
      </c>
      <c r="B28" s="12" t="n">
        <v>32.8</v>
      </c>
      <c r="C28" s="12" t="n">
        <v>2</v>
      </c>
      <c r="D28" s="12" t="n">
        <v>24</v>
      </c>
      <c r="E28" s="12" t="n">
        <v>4</v>
      </c>
      <c r="F28" s="12" t="n">
        <v>0</v>
      </c>
      <c r="G28" s="12" t="n">
        <v>9</v>
      </c>
      <c r="H28" s="12" t="n">
        <v>3</v>
      </c>
      <c r="I28" s="12" t="n">
        <v>13</v>
      </c>
    </row>
    <row r="29" customFormat="false" ht="15.75" hidden="false" customHeight="false" outlineLevel="0" collapsed="false">
      <c r="A29" s="10" t="s">
        <v>81</v>
      </c>
      <c r="B29" s="12" t="n">
        <v>34</v>
      </c>
      <c r="C29" s="12" t="n">
        <v>2</v>
      </c>
      <c r="D29" s="12" t="n">
        <v>29</v>
      </c>
      <c r="E29" s="12" t="n">
        <v>1</v>
      </c>
      <c r="F29" s="12" t="n">
        <v>1</v>
      </c>
      <c r="G29" s="12" t="n">
        <v>4</v>
      </c>
      <c r="H29" s="12" t="n">
        <v>5</v>
      </c>
      <c r="I29" s="12" t="n">
        <v>15</v>
      </c>
    </row>
    <row r="30" customFormat="false" ht="15.75" hidden="false" customHeight="false" outlineLevel="0" collapsed="false">
      <c r="A30" s="10" t="s">
        <v>47</v>
      </c>
      <c r="B30" s="12" t="n">
        <v>18.6</v>
      </c>
      <c r="C30" s="12" t="n">
        <v>2</v>
      </c>
      <c r="D30" s="12" t="n">
        <v>17</v>
      </c>
      <c r="E30" s="12" t="n">
        <v>27</v>
      </c>
      <c r="F30" s="12" t="n">
        <v>1</v>
      </c>
      <c r="G30" s="12" t="n">
        <v>5</v>
      </c>
      <c r="H30" s="12" t="n">
        <v>3</v>
      </c>
      <c r="I30" s="12" t="n">
        <v>12</v>
      </c>
    </row>
    <row r="31" customFormat="false" ht="15.75" hidden="false" customHeight="false" outlineLevel="0" collapsed="false">
      <c r="A31" s="10" t="s">
        <v>51</v>
      </c>
      <c r="B31" s="12" t="n">
        <v>18.2</v>
      </c>
      <c r="C31" s="12" t="n">
        <v>2</v>
      </c>
      <c r="D31" s="12" t="n">
        <v>14</v>
      </c>
      <c r="E31" s="12" t="n">
        <v>7</v>
      </c>
      <c r="F31" s="12" t="n">
        <v>0</v>
      </c>
      <c r="G31" s="12" t="n">
        <v>8</v>
      </c>
      <c r="H31" s="12" t="n">
        <v>3</v>
      </c>
      <c r="I31" s="12" t="n">
        <v>8</v>
      </c>
    </row>
    <row r="32" customFormat="false" ht="15.75" hidden="false" customHeight="false" outlineLevel="0" collapsed="false">
      <c r="A32" s="10" t="s">
        <v>87</v>
      </c>
      <c r="B32" s="12" t="n">
        <v>14.1</v>
      </c>
      <c r="C32" s="12" t="n">
        <v>2</v>
      </c>
      <c r="D32" s="12" t="n">
        <v>17</v>
      </c>
      <c r="E32" s="12" t="n">
        <v>6</v>
      </c>
      <c r="F32" s="12" t="n">
        <v>0</v>
      </c>
      <c r="G32" s="12" t="n">
        <v>6</v>
      </c>
      <c r="H32" s="12" t="n">
        <v>2</v>
      </c>
      <c r="I32" s="12" t="n">
        <v>10</v>
      </c>
    </row>
    <row r="33" customFormat="false" ht="15.75" hidden="false" customHeight="false" outlineLevel="0" collapsed="false">
      <c r="A33" s="10" t="s">
        <v>89</v>
      </c>
      <c r="B33" s="12" t="n">
        <v>13.9</v>
      </c>
      <c r="C33" s="12" t="n">
        <v>2</v>
      </c>
      <c r="D33" s="12" t="n">
        <v>17</v>
      </c>
      <c r="E33" s="12" t="n">
        <v>3</v>
      </c>
      <c r="F33" s="12" t="n">
        <v>0</v>
      </c>
      <c r="G33" s="12" t="n">
        <v>8</v>
      </c>
      <c r="H33" s="12" t="n">
        <v>1</v>
      </c>
      <c r="I33" s="12" t="n">
        <v>9</v>
      </c>
    </row>
    <row r="34" customFormat="false" ht="15.75" hidden="false" customHeight="false" outlineLevel="0" collapsed="false">
      <c r="A34" s="10" t="s">
        <v>83</v>
      </c>
      <c r="B34" s="12" t="n">
        <v>24</v>
      </c>
      <c r="C34" s="12" t="n">
        <v>2</v>
      </c>
      <c r="D34" s="12" t="n">
        <v>15</v>
      </c>
      <c r="E34" s="12" t="n">
        <v>4</v>
      </c>
      <c r="F34" s="12" t="n">
        <v>0</v>
      </c>
      <c r="G34" s="12" t="n">
        <v>10</v>
      </c>
      <c r="H34" s="12" t="n">
        <v>3</v>
      </c>
      <c r="I34" s="12" t="n">
        <v>9</v>
      </c>
    </row>
    <row r="35" customFormat="false" ht="15.75" hidden="false" customHeight="false" outlineLevel="0" collapsed="false">
      <c r="A35" s="10" t="s">
        <v>66</v>
      </c>
      <c r="B35" s="12" t="n">
        <v>6.4</v>
      </c>
      <c r="C35" s="12" t="n">
        <v>2</v>
      </c>
      <c r="D35" s="12" t="n">
        <v>18</v>
      </c>
      <c r="E35" s="12" t="n">
        <v>3</v>
      </c>
      <c r="F35" s="12" t="n">
        <v>0</v>
      </c>
      <c r="G35" s="12" t="n">
        <v>3</v>
      </c>
      <c r="H35" s="12" t="n">
        <v>0</v>
      </c>
      <c r="I35" s="12" t="n">
        <v>7</v>
      </c>
    </row>
    <row r="36" customFormat="false" ht="15.75" hidden="false" customHeight="false" outlineLevel="0" collapsed="false">
      <c r="A36" s="10" t="s">
        <v>49</v>
      </c>
      <c r="B36" s="12" t="n">
        <v>30.8</v>
      </c>
      <c r="C36" s="12" t="n">
        <v>2</v>
      </c>
      <c r="D36" s="12" t="n">
        <v>23</v>
      </c>
      <c r="E36" s="12" t="n">
        <v>3</v>
      </c>
      <c r="F36" s="12" t="n">
        <v>1</v>
      </c>
      <c r="G36" s="12" t="n">
        <v>6</v>
      </c>
      <c r="H36" s="12" t="n">
        <v>4</v>
      </c>
      <c r="I36" s="12" t="n">
        <v>13</v>
      </c>
    </row>
    <row r="37" customFormat="false" ht="15.75" hidden="false" customHeight="false" outlineLevel="0" collapsed="false">
      <c r="A37" s="10" t="s">
        <v>21</v>
      </c>
      <c r="B37" s="12" t="n">
        <v>18.4</v>
      </c>
      <c r="C37" s="12" t="n">
        <v>2</v>
      </c>
      <c r="D37" s="12" t="n">
        <v>15</v>
      </c>
      <c r="E37" s="12" t="n">
        <v>8</v>
      </c>
      <c r="F37" s="12" t="n">
        <v>0</v>
      </c>
      <c r="G37" s="12" t="n">
        <v>11</v>
      </c>
      <c r="H37" s="12" t="n">
        <v>4</v>
      </c>
      <c r="I37" s="12" t="n">
        <v>8</v>
      </c>
    </row>
    <row r="38" customFormat="false" ht="15.75" hidden="false" customHeight="false" outlineLevel="0" collapsed="false">
      <c r="A38" s="10" t="s">
        <v>25</v>
      </c>
      <c r="B38" s="12" t="n">
        <v>19</v>
      </c>
      <c r="C38" s="12" t="n">
        <v>2</v>
      </c>
      <c r="D38" s="12" t="n">
        <v>14</v>
      </c>
      <c r="E38" s="12" t="n">
        <v>8</v>
      </c>
      <c r="F38" s="12" t="n">
        <v>0</v>
      </c>
      <c r="G38" s="12" t="n">
        <v>13</v>
      </c>
      <c r="H38" s="12" t="n">
        <v>3</v>
      </c>
      <c r="I38" s="12" t="n">
        <v>7</v>
      </c>
    </row>
    <row r="40" customFormat="false" ht="15.75" hidden="false" customHeight="false" outlineLevel="0" collapsed="false">
      <c r="A40" s="7" t="s">
        <v>115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921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0"/>
  </cols>
  <sheetData>
    <row r="1" customFormat="false" ht="16.15" hidden="false" customHeight="false" outlineLevel="0" collapsed="false">
      <c r="A1" s="13" t="s">
        <v>116</v>
      </c>
    </row>
    <row r="2" customFormat="false" ht="15" hidden="false" customHeight="false" outlineLevel="0" collapsed="false">
      <c r="A2" s="7" t="s">
        <v>117</v>
      </c>
    </row>
    <row r="4" customFormat="false" ht="15" hidden="false" customHeight="false" outlineLevel="0" collapsed="false">
      <c r="A4" s="14" t="s">
        <v>118</v>
      </c>
      <c r="B4" s="15"/>
    </row>
    <row r="5" customFormat="false" ht="42" hidden="false" customHeight="true" outlineLevel="0" collapsed="false">
      <c r="A5" s="16" t="s">
        <v>119</v>
      </c>
      <c r="B5" s="17" t="s">
        <v>120</v>
      </c>
    </row>
    <row r="6" customFormat="false" ht="42" hidden="false" customHeight="true" outlineLevel="0" collapsed="false">
      <c r="A6" s="16" t="s">
        <v>121</v>
      </c>
      <c r="B6" s="17" t="s">
        <v>122</v>
      </c>
    </row>
    <row r="7" customFormat="false" ht="42" hidden="false" customHeight="true" outlineLevel="0" collapsed="false">
      <c r="A7" s="16" t="s">
        <v>123</v>
      </c>
      <c r="B7" s="17" t="s">
        <v>124</v>
      </c>
    </row>
    <row r="8" customFormat="false" ht="42" hidden="false" customHeight="true" outlineLevel="0" collapsed="false">
      <c r="A8" s="16" t="s">
        <v>125</v>
      </c>
      <c r="B8" s="17" t="s">
        <v>126</v>
      </c>
    </row>
    <row r="9" customFormat="false" ht="42" hidden="false" customHeight="true" outlineLevel="0" collapsed="false">
      <c r="A9" s="16" t="s">
        <v>127</v>
      </c>
      <c r="B9" s="17" t="s">
        <v>128</v>
      </c>
    </row>
    <row r="10" customFormat="false" ht="42" hidden="false" customHeight="true" outlineLevel="0" collapsed="false">
      <c r="A10" s="16" t="s">
        <v>129</v>
      </c>
      <c r="B10" s="17" t="s">
        <v>130</v>
      </c>
    </row>
    <row r="11" customFormat="false" ht="42" hidden="false" customHeight="true" outlineLevel="0" collapsed="false">
      <c r="A11" s="16" t="s">
        <v>131</v>
      </c>
      <c r="B11" s="17" t="s">
        <v>132</v>
      </c>
    </row>
    <row r="12" customFormat="false" ht="42" hidden="false" customHeight="true" outlineLevel="0" collapsed="false">
      <c r="A12" s="16" t="s">
        <v>133</v>
      </c>
      <c r="B12" s="17" t="s">
        <v>134</v>
      </c>
    </row>
    <row r="13" customFormat="false" ht="42" hidden="false" customHeight="true" outlineLevel="0" collapsed="false">
      <c r="A13" s="16" t="s">
        <v>135</v>
      </c>
      <c r="B13" s="17" t="s">
        <v>136</v>
      </c>
    </row>
    <row r="15" customFormat="false" ht="15" hidden="false" customHeight="false" outlineLevel="0" collapsed="false">
      <c r="A15" s="14" t="s">
        <v>137</v>
      </c>
      <c r="B15" s="15"/>
    </row>
    <row r="16" customFormat="false" ht="54" hidden="false" customHeight="true" outlineLevel="0" collapsed="false">
      <c r="A16" s="16" t="s">
        <v>138</v>
      </c>
      <c r="B16" s="17" t="s">
        <v>139</v>
      </c>
    </row>
    <row r="17" customFormat="false" ht="54" hidden="false" customHeight="true" outlineLevel="0" collapsed="false">
      <c r="A17" s="16" t="s">
        <v>140</v>
      </c>
      <c r="B17" s="17" t="s">
        <v>141</v>
      </c>
    </row>
    <row r="18" customFormat="false" ht="54" hidden="false" customHeight="true" outlineLevel="0" collapsed="false">
      <c r="A18" s="16" t="s">
        <v>142</v>
      </c>
      <c r="B18" s="17" t="s">
        <v>143</v>
      </c>
    </row>
    <row r="19" customFormat="false" ht="54" hidden="false" customHeight="true" outlineLevel="0" collapsed="false">
      <c r="A19" s="16" t="s">
        <v>144</v>
      </c>
      <c r="B19" s="17" t="s">
        <v>145</v>
      </c>
    </row>
    <row r="20" customFormat="false" ht="54" hidden="false" customHeight="true" outlineLevel="0" collapsed="false">
      <c r="A20" s="16" t="s">
        <v>146</v>
      </c>
      <c r="B20" s="17" t="s">
        <v>147</v>
      </c>
    </row>
    <row r="21" customFormat="false" ht="54" hidden="false" customHeight="true" outlineLevel="0" collapsed="false">
      <c r="A21" s="16" t="s">
        <v>148</v>
      </c>
      <c r="B21" s="17" t="s">
        <v>149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2026-06-12T04:41:40Z</dcterms:created>
  <dc:creator>Vibhor</dc:creator>
  <dc:description/>
  <dc:language>en-US</dc:language>
  <cp:lastModifiedBy>Vibhor</cp:lastModifiedBy>
  <dcterms:modified xsi:type="dcterms:W3CDTF">2026-06-12T04:52:26Z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