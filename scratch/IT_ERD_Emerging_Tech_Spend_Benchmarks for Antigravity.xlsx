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ibhor/Downloads/"/>
    </mc:Choice>
  </mc:AlternateContent>
  <xr:revisionPtr revIDLastSave="0" documentId="13_ncr:1_{F682CBE5-E330-FE48-892A-7818BC02D642}" xr6:coauthVersionLast="47" xr6:coauthVersionMax="47" xr10:uidLastSave="{00000000-0000-0000-0000-000000000000}"/>
  <bookViews>
    <workbookView xWindow="0" yWindow="660" windowWidth="30240" windowHeight="17720" tabRatio="500" xr2:uid="{00000000-000D-0000-FFFF-FFFF00000000}"/>
  </bookViews>
  <sheets>
    <sheet name="IT-ERD Spend Estimate" sheetId="1" r:id="rId1"/>
    <sheet name="ERD Spend Split" sheetId="2" r:id="rId2"/>
    <sheet name="Emerging Tech Spen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5" i="2" l="1"/>
  <c r="P14" i="2"/>
  <c r="P13" i="2"/>
  <c r="P12" i="2"/>
  <c r="P11" i="2"/>
  <c r="P10" i="2"/>
  <c r="P9" i="2"/>
  <c r="P8" i="2"/>
  <c r="P7" i="2"/>
  <c r="P6" i="2"/>
  <c r="P5" i="2"/>
  <c r="P4" i="2"/>
  <c r="P3" i="2"/>
  <c r="P2" i="2"/>
</calcChain>
</file>

<file path=xl/sharedStrings.xml><?xml version="1.0" encoding="utf-8"?>
<sst xmlns="http://schemas.openxmlformats.org/spreadsheetml/2006/main" count="185" uniqueCount="116">
  <si>
    <t>Industry</t>
  </si>
  <si>
    <t>Justification Summary</t>
  </si>
  <si>
    <t>Aerospace &amp; Defence</t>
  </si>
  <si>
    <t>Gartner ITKMD/Avasant medians ~2.5-3.5% for A&amp;D primes; digital thread, MBSE, and classified-cloud programs lift intensity through 2030.</t>
  </si>
  <si>
    <t>Company-funded R&amp;D ~3-4% plus customer-funded engineering (EU R&amp;D Scoreboard; Airbus ~5%, Boeing ~3.5%); AI avionics, autonomy, and digital twins.</t>
  </si>
  <si>
    <t>Agriculture</t>
  </si>
  <si>
    <t>Among the lowest IT-intensity sectors (Avasant &lt;1.5% median); precision-ag IoT and farm-management SaaS drive gradual uplift.</t>
  </si>
  <si>
    <t>Automotive</t>
  </si>
  <si>
    <t>OEM R&amp;D intensity ~4.7-5.5% (EU R&amp;D Scoreboard; VW ~7%, Toyota ~3.6%); EV, ADAS/SDV, and battery engineering push toward ~6.5% by 2030.</t>
  </si>
  <si>
    <t>OEM IT spend ~2.5-3% of revenue (Gartner ITKMD); software-defined vehicle, connected services, and AI manufacturing push toward ~3.7% by 2030.</t>
  </si>
  <si>
    <t>Construction</t>
  </si>
  <si>
    <t>Construction R&amp;D intensity is structurally low (&lt;1%, EU Scoreboard); modular construction, materials, and robotics pilots.</t>
  </si>
  <si>
    <t>Business Services / Professional Services</t>
  </si>
  <si>
    <t>People-centric sector; Avasant professional services median ~5-6%; GenAI copilots and knowledge automation sustain growth.</t>
  </si>
  <si>
    <t>Energy (Oil &amp; Gas)</t>
  </si>
  <si>
    <t>O&amp;G majors invest ~0.3-0.6% of revenue in R&amp;D (company filings: Shell, ExxonMobil &lt;0.5%); CCUS and low-carbon tech sustain modest growth.</t>
  </si>
  <si>
    <t>Avasant construction/trade services median ~1.5-2%; BIM, project-controls SaaS, and field mobility lift spend slowly off a low base.</t>
  </si>
  <si>
    <t>Healthcare Providers</t>
  </si>
  <si>
    <t>Provider R&amp;D concentrated in academic medical centers (~1-2% of operating revenue); clinical AI, trials infrastructure, and care-model innovation.</t>
  </si>
  <si>
    <t>Consumer Products</t>
  </si>
  <si>
    <t>CPG IT spend ~1.8-2.5% (Gartner ITKMD); digital shelf, RGM analytics, and supply-chain visibility platforms scale.</t>
  </si>
  <si>
    <t>Industrial Manufacturing – Discrete</t>
  </si>
  <si>
    <t>Machinery/industrial equipment R&amp;D ~3-4.5% (EU Scoreboard industrial engineering); electrification, additive mfg, and embedded software.</t>
  </si>
  <si>
    <t>Consumer Services</t>
  </si>
  <si>
    <t>Service-sector median ~3-4%; CX platforms, omnichannel personalization, and workforce-management tech adoption.</t>
  </si>
  <si>
    <t>Industrial Manufacturing – Process</t>
  </si>
  <si>
    <t>Chemicals/process R&amp;D ~1.5-2.5% (BASF ~2.6%, commodity players ~1%); process intensification, sustainability, and advanced materials.</t>
  </si>
  <si>
    <t>Ecommerce</t>
  </si>
  <si>
    <t>Digital-native retail runs 5-8%+ of revenue on tech (Flexera/Avasant online-retail chapter); AI search, recsys, and logistics optimization compound.</t>
  </si>
  <si>
    <t>IT Hardware</t>
  </si>
  <si>
    <t>ICT hardware R&amp;D intensity ~8% (EU R&amp;D Scoreboard); semiconductors 15-20% (TSMC ~8%, NVIDIA ~20%+); AI silicon and edge drive growth.</t>
  </si>
  <si>
    <t>Education</t>
  </si>
  <si>
    <t>Higher-ed IT ~4-6% of institutional budget (EDUCAUSE/Avasant); LMS modernization, AI tutoring, and hybrid-learning infrastructure.</t>
  </si>
  <si>
    <t>IT Services</t>
  </si>
  <si>
    <t>IT services firms invest ~1-3% in platforms/IP (Accenture, TCS ~1-1.5% reported R&amp;D plus capitalized platform engineering); GenAI assets accelerate.</t>
  </si>
  <si>
    <t>Lowest-quartile IT intensity (~1-1.5%, Gartner ITKMD); digital oilfield, predictive maintenance, and ESG reporting drive modest growth.</t>
  </si>
  <si>
    <t>Medical Devices</t>
  </si>
  <si>
    <t>MedTech R&amp;D ~7-9% of revenue (Medtronic ~8%, Boston Scientific ~10%); AI diagnostics, wearables, and software-as-medical-device.</t>
  </si>
  <si>
    <t>Financial Markets / Capital Markets / Investments</t>
  </si>
  <si>
    <t>Highest IT intensity of any sector (Deloitte ~11%+ for securities/investments; Avasant FS upper quartile 11.4%); AI trading, risk engines, data modernization.</t>
  </si>
  <si>
    <t>Mineral / Mining / Natural Resources</t>
  </si>
  <si>
    <t>Mining R&amp;D intensity ~0.2-0.5% (Rio Tinto, BHP filings); automation, leaching tech, and decarbonization pilots off a very low base.</t>
  </si>
  <si>
    <t>Healthcare Insurance (Payers)</t>
  </si>
  <si>
    <t>Payer IT ~4-5% of revenue (Gartner ITKMD); AI claims automation, interoperability mandates, and member digital engagement.</t>
  </si>
  <si>
    <t>Pharmaceuticals / Life Sciences</t>
  </si>
  <si>
    <t>Highest R&amp;D intensity of any sector: ~15.4% (EU R&amp;D Scoreboard); big pharma 17-25% (Merck ~25%, Roche ~19%); AI discovery and biologics.</t>
  </si>
  <si>
    <t>Provider IT 3.5-5% of operating revenue (Avasant hospitals chapter; HIMSS); EHR optimization, AI diagnostics, virtual care expansion.</t>
  </si>
  <si>
    <t>Telecommunications</t>
  </si>
  <si>
    <t>Telecom operators invest ~1-2% in R&amp;D (equipment vendors run 10-15%: Nokia ~17%, Ericsson ~18% — excluded here); 6G research and network AI.</t>
  </si>
  <si>
    <t>High Tech / Technology</t>
  </si>
  <si>
    <t>Tech companies spend 8-12%+ on internal IT/platforms; GenAI infrastructure and AI-first product development push intensity sharply higher.</t>
  </si>
  <si>
    <t>Transportation</t>
  </si>
  <si>
    <t>Transport/logistics operators R&amp;D &lt;1-1.5%; electrification, autonomous-fleet pilots, and sustainable fuels engineering.</t>
  </si>
  <si>
    <t>Hospitality / Travel</t>
  </si>
  <si>
    <t>Travel IT ~2.5-3.5% (airlines higher); AI revenue management, contactless ops, and personalization investment recovery post-2023.</t>
  </si>
  <si>
    <t>Avasant discrete mfg median ~2.1% (1.4-3.2% IQR); smart factory, MES/IIoT, and digital twin programs scale through 2030.</t>
  </si>
  <si>
    <t>Process mfg median ~1.5-2% (Gartner ITKMD); asset performance management and OT/IT convergence with conservative budgets.</t>
  </si>
  <si>
    <t>Note: ER&amp;D spend as % of revenue. Anchored to EU Industrial R&amp;D Scoreboard 2024/25, Zinnov ER&amp;D/Digital Engineering studies &amp; company filings; 2026–2030 projected (ER&amp;D CAGR ~9–13% per Zinnov vs revenue ~4.5%).</t>
  </si>
  <si>
    <t>Hardware OEM internal IT/digital ~5-6% of revenue; AI-era supply chain, EDA cloud, and as-a-service business model platforms.</t>
  </si>
  <si>
    <t>Internal technology spend of IT services firms ~5-7% of revenue; AI-led delivery platforms, internal GenAI tooling, and automation IP.</t>
  </si>
  <si>
    <t>Life Insurance</t>
  </si>
  <si>
    <t>Insurance IT ~4-5% (Deloitte ~4.3% for insurance); core modernization, predictive underwriting, and agent digital enablement.</t>
  </si>
  <si>
    <t>Media &amp; Entertainment</t>
  </si>
  <si>
    <t>M&amp;E IT/tech ~5-6% of revenue; streaming infrastructure, AI content tooling, and ad-tech modernization.</t>
  </si>
  <si>
    <t>MedTech IT ~3.5-4.5%; connected-device platforms (IoMT), regulatory data systems, and digital-health integration.</t>
  </si>
  <si>
    <t>Bottom-quartile intensity (~1-1.5%); autonomous haulage, remote operations centers, and environmental monitoring lift spend gradually.</t>
  </si>
  <si>
    <t>Non Profit / NGO</t>
  </si>
  <si>
    <t>Avasant nonprofit median ~2.5-3.5%; cloud CRM, fundraising automation, and cybersecurity catch-up investment.</t>
  </si>
  <si>
    <t>P&amp;C Insurance</t>
  </si>
  <si>
    <t>P&amp;C IT ~3.5-4.5% (Deloitte/Avasant insurance); telematics, GenAI claims, and CAT-modeling platforms expand.</t>
  </si>
  <si>
    <t>Pharma IT (excl. R&amp;D) ~3-4% (Gartner ITKMD); clinical data platforms, AI discovery infrastructure, and commercial analytics.</t>
  </si>
  <si>
    <t>Public Sector &amp; Government</t>
  </si>
  <si>
    <t>Government IT ~5-7% of operating budget (Gartner/NASCIO); citizen digital services, cyber mandates, and legacy modernization.</t>
  </si>
  <si>
    <t>Real Estate</t>
  </si>
  <si>
    <t>CRE IT ~2-2.5% (Avasant commercial real estate); proptech, smart-building IoT, and portfolio analytics adoption.</t>
  </si>
  <si>
    <t>Reinsurance</t>
  </si>
  <si>
    <t>Reinsurance IT ~4-5%; catastrophe modeling, AI risk analytics, and platform modernization sustain above-insurance-average intensity.</t>
  </si>
  <si>
    <t>Retail</t>
  </si>
  <si>
    <t>Brick-and-mortar retail ~2-2.5% (Gartner ITKMD); omnichannel, unified commerce, and store automation drive steady uplift.</t>
  </si>
  <si>
    <t>Retail Banking / Commercial Banking</t>
  </si>
  <si>
    <t>Banking IT 7-10% of revenue (Avasant FS chapter; Deloitte ~7.2%); AI risk/compliance, core-to-cloud, and digital channels compound.</t>
  </si>
  <si>
    <t>Software</t>
  </si>
  <si>
    <t>Software firms spend ~10-12%+ of revenue on internal tech/R&amp;D-adjacent IT (EU R&amp;D Scoreboard software intensity ~10.8%); GenAI compute accelerates.</t>
  </si>
  <si>
    <t>Supply Chain / Logistics</t>
  </si>
  <si>
    <t>Avasant logistics chapter median ~2-2.5%; AI route optimization, control towers, and warehouse robotics integration.</t>
  </si>
  <si>
    <t>Telco IT (BSS/OSS, internal) ~4-5% of revenue; autonomous networks, AI ops, and B2B platform monetization.</t>
  </si>
  <si>
    <t>Transport operators ~2-3%; fleet telematics, electrification systems, and digital ticketing/booking modernization.</t>
  </si>
  <si>
    <t>Utilities</t>
  </si>
  <si>
    <t>Utility IT ~2.5-3.5% (Gartner ITKMD); smart grid, DERMS, and AMI data platforms under regulatory cost scrutiny.</t>
  </si>
  <si>
    <t>Wholesale / Distribution</t>
  </si>
  <si>
    <t>Lowest IT intensity of all sectors (~0.9-1.4%, Avasant wholesale chapter); ERP modernization and e-commerce enablement off a thin base.</t>
  </si>
  <si>
    <t>Note: IT spend as % of revenue (median benchmark view). 2022–2025 anchored to Gartner ITKMD, Avasant Computer Economics ISS, Deloitte Insights &amp; Flexera medians; 2026–2030 projected (IT spend CAGR ~8–11% vs nominal revenue ~4.5%). See 'Sources &amp; Methodology'.</t>
  </si>
  <si>
    <t>AI/ML &amp; Data Engineering</t>
  </si>
  <si>
    <t>Compliance &amp; Certification</t>
  </si>
  <si>
    <t>Design &amp; Simulation</t>
  </si>
  <si>
    <t>Digital Engineering &amp; IoT</t>
  </si>
  <si>
    <t>Mechanical &amp; Hardware Design</t>
  </si>
  <si>
    <t>Platform Engineering</t>
  </si>
  <si>
    <t>Product Engineering</t>
  </si>
  <si>
    <t>Program Management &amp; PMO</t>
  </si>
  <si>
    <t>Prototyping &amp; Testing</t>
  </si>
  <si>
    <t>Software Engineering</t>
  </si>
  <si>
    <t>Sustenance Engineering</t>
  </si>
  <si>
    <t>Systems Engineering</t>
  </si>
  <si>
    <t>Technical Documentation</t>
  </si>
  <si>
    <t>Others</t>
  </si>
  <si>
    <t>Row Total</t>
  </si>
  <si>
    <t>AI (ML/DL/GenAI &amp; Safety)</t>
  </si>
  <si>
    <t>Blockchain</t>
  </si>
  <si>
    <t>Cloud &amp; Edge</t>
  </si>
  <si>
    <t>Connectivity (5G/6G)</t>
  </si>
  <si>
    <t>Quantum Computing</t>
  </si>
  <si>
    <t>Robotics &amp; Automation</t>
  </si>
  <si>
    <t>Spatial (VR/AR)</t>
  </si>
  <si>
    <t>Big Data &amp; Analytics</t>
  </si>
  <si>
    <t>Note: shares of emerging-tech allocation (% of tech budget), 2025–26 view. AI shares uplifted per Gartner GenAI spend forecasts &amp; IDC Worldwide AI Spending Guide; Blockchain capped at ≤2% reflecting post-2022 enterprise retrenchment.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</si>
</sst>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2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i/>
      <sz val="9"/>
      <color rgb="FF4A5A66"/>
      <name val="Cambria"/>
      <family val="1"/>
    </font>
    <font>
      <sz val="10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6E9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2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B3F"/>
      <rgbColor rgb="FF000080"/>
      <rgbColor rgb="FF8B5E00"/>
      <rgbColor rgb="FF800080"/>
      <rgbColor rgb="FF008080"/>
      <rgbColor rgb="FFC0C0C0"/>
      <rgbColor rgb="FF808080"/>
      <rgbColor rgb="FF9999FF"/>
      <rgbColor rgb="FF993366"/>
      <rgbColor rgb="FFFFF3E0"/>
      <rgbColor rgb="FFD6E9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E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A66"/>
      <rgbColor rgb="FFC9A24B"/>
      <rgbColor rgb="FF0C3649"/>
      <rgbColor rgb="FF339966"/>
      <rgbColor rgb="FF003300"/>
      <rgbColor rgb="FF333300"/>
      <rgbColor rgb="FF993300"/>
      <rgbColor rgb="FF993366"/>
      <rgbColor rgb="FF0C447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1"/>
  <sheetViews>
    <sheetView tabSelected="1" zoomScaleNormal="100" workbookViewId="0"/>
  </sheetViews>
  <sheetFormatPr baseColWidth="10" defaultColWidth="8.83203125" defaultRowHeight="16" x14ac:dyDescent="0.2"/>
  <cols>
    <col min="1" max="1" width="38.6640625" customWidth="1"/>
    <col min="14" max="14" width="21.1640625" customWidth="1"/>
  </cols>
  <sheetData>
    <row r="1" spans="1:24" ht="15.75" customHeight="1" x14ac:dyDescent="0.2">
      <c r="A1" s="2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 t="s">
        <v>1</v>
      </c>
      <c r="L1" s="2"/>
      <c r="N1" s="2" t="s">
        <v>0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 t="s">
        <v>1</v>
      </c>
    </row>
    <row r="2" spans="1:24" ht="15.75" customHeight="1" x14ac:dyDescent="0.2">
      <c r="A2" s="3" t="s">
        <v>2</v>
      </c>
      <c r="B2" s="4">
        <v>2.8</v>
      </c>
      <c r="C2" s="4">
        <v>2.9</v>
      </c>
      <c r="D2" s="4">
        <v>3</v>
      </c>
      <c r="E2" s="4">
        <v>3.1</v>
      </c>
      <c r="F2" s="4">
        <v>3.21</v>
      </c>
      <c r="G2" s="4">
        <v>3.33</v>
      </c>
      <c r="H2" s="4">
        <v>3.44</v>
      </c>
      <c r="I2" s="4">
        <v>3.56</v>
      </c>
      <c r="J2" s="4">
        <v>3.69</v>
      </c>
      <c r="K2" s="3" t="s">
        <v>3</v>
      </c>
      <c r="L2" s="3"/>
      <c r="N2" s="3" t="s">
        <v>2</v>
      </c>
      <c r="O2" s="5">
        <v>3.73</v>
      </c>
      <c r="P2" s="5">
        <v>3.86</v>
      </c>
      <c r="Q2" s="5">
        <v>4</v>
      </c>
      <c r="R2" s="5">
        <v>4.1399999999999997</v>
      </c>
      <c r="S2" s="5">
        <v>4.28</v>
      </c>
      <c r="T2" s="5">
        <v>4.43</v>
      </c>
      <c r="U2" s="5">
        <v>4.59</v>
      </c>
      <c r="V2" s="5">
        <v>4.75</v>
      </c>
      <c r="W2" s="5">
        <v>4.92</v>
      </c>
      <c r="X2" s="3" t="s">
        <v>4</v>
      </c>
    </row>
    <row r="3" spans="1:24" ht="15.75" customHeight="1" x14ac:dyDescent="0.2">
      <c r="A3" s="3" t="s">
        <v>5</v>
      </c>
      <c r="B3" s="4">
        <v>1.33</v>
      </c>
      <c r="C3" s="4">
        <v>1.37</v>
      </c>
      <c r="D3" s="4">
        <v>1.4</v>
      </c>
      <c r="E3" s="4">
        <v>1.43</v>
      </c>
      <c r="F3" s="4">
        <v>1.47</v>
      </c>
      <c r="G3" s="4">
        <v>1.51</v>
      </c>
      <c r="H3" s="4">
        <v>1.55</v>
      </c>
      <c r="I3" s="4">
        <v>1.58</v>
      </c>
      <c r="J3" s="4">
        <v>1.62</v>
      </c>
      <c r="K3" s="3" t="s">
        <v>6</v>
      </c>
      <c r="L3" s="3"/>
      <c r="N3" s="3" t="s">
        <v>7</v>
      </c>
      <c r="O3" s="5">
        <v>4.58</v>
      </c>
      <c r="P3" s="5">
        <v>4.78</v>
      </c>
      <c r="Q3" s="5">
        <v>5</v>
      </c>
      <c r="R3" s="5">
        <v>5.22</v>
      </c>
      <c r="S3" s="5">
        <v>5.46</v>
      </c>
      <c r="T3" s="5">
        <v>5.71</v>
      </c>
      <c r="U3" s="5">
        <v>5.96</v>
      </c>
      <c r="V3" s="5">
        <v>6.23</v>
      </c>
      <c r="W3" s="5">
        <v>6.51</v>
      </c>
      <c r="X3" s="3" t="s">
        <v>8</v>
      </c>
    </row>
    <row r="4" spans="1:24" ht="15.75" customHeight="1" x14ac:dyDescent="0.2">
      <c r="A4" s="3" t="s">
        <v>7</v>
      </c>
      <c r="B4" s="4">
        <v>2.56</v>
      </c>
      <c r="C4" s="4">
        <v>2.68</v>
      </c>
      <c r="D4" s="4">
        <v>2.8</v>
      </c>
      <c r="E4" s="4">
        <v>2.93</v>
      </c>
      <c r="F4" s="4">
        <v>3.06</v>
      </c>
      <c r="G4" s="4">
        <v>3.2</v>
      </c>
      <c r="H4" s="4">
        <v>3.34</v>
      </c>
      <c r="I4" s="4">
        <v>3.49</v>
      </c>
      <c r="J4" s="4">
        <v>3.65</v>
      </c>
      <c r="K4" s="3" t="s">
        <v>9</v>
      </c>
      <c r="L4" s="3"/>
      <c r="N4" s="3" t="s">
        <v>10</v>
      </c>
      <c r="O4" s="5">
        <v>0.76</v>
      </c>
      <c r="P4" s="5">
        <v>0.78</v>
      </c>
      <c r="Q4" s="5">
        <v>0.8</v>
      </c>
      <c r="R4" s="5">
        <v>0.82</v>
      </c>
      <c r="S4" s="5">
        <v>0.84</v>
      </c>
      <c r="T4" s="5">
        <v>0.86</v>
      </c>
      <c r="U4" s="5">
        <v>0.88</v>
      </c>
      <c r="V4" s="5">
        <v>0.91</v>
      </c>
      <c r="W4" s="5">
        <v>0.93</v>
      </c>
      <c r="X4" s="3" t="s">
        <v>11</v>
      </c>
    </row>
    <row r="5" spans="1:24" ht="15.75" customHeight="1" x14ac:dyDescent="0.2">
      <c r="A5" s="3" t="s">
        <v>12</v>
      </c>
      <c r="B5" s="4">
        <v>5.13</v>
      </c>
      <c r="C5" s="4">
        <v>5.31</v>
      </c>
      <c r="D5" s="4">
        <v>5.5</v>
      </c>
      <c r="E5" s="4">
        <v>5.69</v>
      </c>
      <c r="F5" s="4">
        <v>5.89</v>
      </c>
      <c r="G5" s="4">
        <v>6.1</v>
      </c>
      <c r="H5" s="4">
        <v>6.31</v>
      </c>
      <c r="I5" s="4">
        <v>6.53</v>
      </c>
      <c r="J5" s="4">
        <v>6.76</v>
      </c>
      <c r="K5" s="3" t="s">
        <v>13</v>
      </c>
      <c r="L5" s="3"/>
      <c r="N5" s="3" t="s">
        <v>14</v>
      </c>
      <c r="O5" s="5">
        <v>0.48</v>
      </c>
      <c r="P5" s="5">
        <v>0.49</v>
      </c>
      <c r="Q5" s="5">
        <v>0.5</v>
      </c>
      <c r="R5" s="5">
        <v>0.51</v>
      </c>
      <c r="S5" s="5">
        <v>0.53</v>
      </c>
      <c r="T5" s="5">
        <v>0.54</v>
      </c>
      <c r="U5" s="5">
        <v>0.55000000000000004</v>
      </c>
      <c r="V5" s="5">
        <v>0.56999999999999995</v>
      </c>
      <c r="W5" s="5">
        <v>0.57999999999999996</v>
      </c>
      <c r="X5" s="3" t="s">
        <v>15</v>
      </c>
    </row>
    <row r="6" spans="1:24" ht="15.75" customHeight="1" x14ac:dyDescent="0.2">
      <c r="A6" s="3" t="s">
        <v>10</v>
      </c>
      <c r="B6" s="4">
        <v>1.62</v>
      </c>
      <c r="C6" s="4">
        <v>1.66</v>
      </c>
      <c r="D6" s="4">
        <v>1.7</v>
      </c>
      <c r="E6" s="4">
        <v>1.74</v>
      </c>
      <c r="F6" s="4">
        <v>1.79</v>
      </c>
      <c r="G6" s="4">
        <v>1.83</v>
      </c>
      <c r="H6" s="4">
        <v>1.88</v>
      </c>
      <c r="I6" s="4">
        <v>1.92</v>
      </c>
      <c r="J6" s="4">
        <v>1.97</v>
      </c>
      <c r="K6" s="3" t="s">
        <v>16</v>
      </c>
      <c r="L6" s="3"/>
      <c r="N6" s="3" t="s">
        <v>17</v>
      </c>
      <c r="O6" s="5">
        <v>1.4</v>
      </c>
      <c r="P6" s="5">
        <v>1.45</v>
      </c>
      <c r="Q6" s="5">
        <v>1.5</v>
      </c>
      <c r="R6" s="5">
        <v>1.55</v>
      </c>
      <c r="S6" s="5">
        <v>1.61</v>
      </c>
      <c r="T6" s="5">
        <v>1.66</v>
      </c>
      <c r="U6" s="5">
        <v>1.72</v>
      </c>
      <c r="V6" s="5">
        <v>1.78</v>
      </c>
      <c r="W6" s="5">
        <v>1.84</v>
      </c>
      <c r="X6" s="3" t="s">
        <v>18</v>
      </c>
    </row>
    <row r="7" spans="1:24" ht="15.75" customHeight="1" x14ac:dyDescent="0.2">
      <c r="A7" s="3" t="s">
        <v>19</v>
      </c>
      <c r="B7" s="4">
        <v>2.0499999999999998</v>
      </c>
      <c r="C7" s="4">
        <v>2.13</v>
      </c>
      <c r="D7" s="4">
        <v>2.2000000000000002</v>
      </c>
      <c r="E7" s="4">
        <v>2.2799999999999998</v>
      </c>
      <c r="F7" s="4">
        <v>2.36</v>
      </c>
      <c r="G7" s="4">
        <v>2.44</v>
      </c>
      <c r="H7" s="4">
        <v>2.52</v>
      </c>
      <c r="I7" s="4">
        <v>2.61</v>
      </c>
      <c r="J7" s="4">
        <v>2.7</v>
      </c>
      <c r="K7" s="3" t="s">
        <v>20</v>
      </c>
      <c r="L7" s="3"/>
      <c r="N7" s="3" t="s">
        <v>21</v>
      </c>
      <c r="O7" s="5">
        <v>3.27</v>
      </c>
      <c r="P7" s="5">
        <v>3.38</v>
      </c>
      <c r="Q7" s="5">
        <v>3.5</v>
      </c>
      <c r="R7" s="5">
        <v>3.62</v>
      </c>
      <c r="S7" s="5">
        <v>3.75</v>
      </c>
      <c r="T7" s="5">
        <v>3.88</v>
      </c>
      <c r="U7" s="5">
        <v>4.0199999999999996</v>
      </c>
      <c r="V7" s="5">
        <v>4.16</v>
      </c>
      <c r="W7" s="5">
        <v>4.3</v>
      </c>
      <c r="X7" s="3" t="s">
        <v>22</v>
      </c>
    </row>
    <row r="8" spans="1:24" ht="15.75" customHeight="1" x14ac:dyDescent="0.2">
      <c r="A8" s="3" t="s">
        <v>23</v>
      </c>
      <c r="B8" s="4">
        <v>3.27</v>
      </c>
      <c r="C8" s="4">
        <v>3.38</v>
      </c>
      <c r="D8" s="4">
        <v>3.5</v>
      </c>
      <c r="E8" s="4">
        <v>3.62</v>
      </c>
      <c r="F8" s="4">
        <v>3.75</v>
      </c>
      <c r="G8" s="4">
        <v>3.88</v>
      </c>
      <c r="H8" s="4">
        <v>4.0199999999999996</v>
      </c>
      <c r="I8" s="4">
        <v>4.16</v>
      </c>
      <c r="J8" s="4">
        <v>4.3</v>
      </c>
      <c r="K8" s="3" t="s">
        <v>24</v>
      </c>
      <c r="L8" s="3"/>
      <c r="N8" s="3" t="s">
        <v>25</v>
      </c>
      <c r="O8" s="5">
        <v>1.87</v>
      </c>
      <c r="P8" s="5">
        <v>1.93</v>
      </c>
      <c r="Q8" s="5">
        <v>2</v>
      </c>
      <c r="R8" s="5">
        <v>2.0699999999999998</v>
      </c>
      <c r="S8" s="5">
        <v>2.14</v>
      </c>
      <c r="T8" s="5">
        <v>2.2200000000000002</v>
      </c>
      <c r="U8" s="5">
        <v>2.2999999999999998</v>
      </c>
      <c r="V8" s="5">
        <v>2.38</v>
      </c>
      <c r="W8" s="5">
        <v>2.46</v>
      </c>
      <c r="X8" s="3" t="s">
        <v>26</v>
      </c>
    </row>
    <row r="9" spans="1:24" ht="15.75" customHeight="1" x14ac:dyDescent="0.2">
      <c r="A9" s="3" t="s">
        <v>27</v>
      </c>
      <c r="B9" s="4">
        <v>5.95</v>
      </c>
      <c r="C9" s="4">
        <v>6.22</v>
      </c>
      <c r="D9" s="4">
        <v>6.5</v>
      </c>
      <c r="E9" s="4">
        <v>6.79</v>
      </c>
      <c r="F9" s="4">
        <v>7.1</v>
      </c>
      <c r="G9" s="4">
        <v>7.42</v>
      </c>
      <c r="H9" s="4">
        <v>7.75</v>
      </c>
      <c r="I9" s="4">
        <v>8.1</v>
      </c>
      <c r="J9" s="4">
        <v>8.4600000000000009</v>
      </c>
      <c r="K9" s="3" t="s">
        <v>28</v>
      </c>
      <c r="L9" s="3"/>
      <c r="N9" s="3" t="s">
        <v>29</v>
      </c>
      <c r="O9" s="5">
        <v>8.4</v>
      </c>
      <c r="P9" s="5">
        <v>8.6999999999999993</v>
      </c>
      <c r="Q9" s="5">
        <v>9</v>
      </c>
      <c r="R9" s="5">
        <v>9.31</v>
      </c>
      <c r="S9" s="5">
        <v>9.64</v>
      </c>
      <c r="T9" s="5">
        <v>9.98</v>
      </c>
      <c r="U9" s="5">
        <v>10.33</v>
      </c>
      <c r="V9" s="5">
        <v>10.69</v>
      </c>
      <c r="W9" s="5">
        <v>11.06</v>
      </c>
      <c r="X9" s="3" t="s">
        <v>30</v>
      </c>
    </row>
    <row r="10" spans="1:24" ht="15.75" customHeight="1" x14ac:dyDescent="0.2">
      <c r="A10" s="3" t="s">
        <v>31</v>
      </c>
      <c r="B10" s="4">
        <v>4.67</v>
      </c>
      <c r="C10" s="4">
        <v>4.83</v>
      </c>
      <c r="D10" s="4">
        <v>5</v>
      </c>
      <c r="E10" s="4">
        <v>5.17</v>
      </c>
      <c r="F10" s="4">
        <v>5.36</v>
      </c>
      <c r="G10" s="4">
        <v>5.54</v>
      </c>
      <c r="H10" s="4">
        <v>5.74</v>
      </c>
      <c r="I10" s="4">
        <v>5.94</v>
      </c>
      <c r="J10" s="4">
        <v>6.15</v>
      </c>
      <c r="K10" s="3" t="s">
        <v>32</v>
      </c>
      <c r="L10" s="3"/>
      <c r="N10" s="3" t="s">
        <v>33</v>
      </c>
      <c r="O10" s="5">
        <v>1.87</v>
      </c>
      <c r="P10" s="5">
        <v>1.93</v>
      </c>
      <c r="Q10" s="5">
        <v>2</v>
      </c>
      <c r="R10" s="5">
        <v>2.0699999999999998</v>
      </c>
      <c r="S10" s="5">
        <v>2.14</v>
      </c>
      <c r="T10" s="5">
        <v>2.2200000000000002</v>
      </c>
      <c r="U10" s="5">
        <v>2.2999999999999998</v>
      </c>
      <c r="V10" s="5">
        <v>2.38</v>
      </c>
      <c r="W10" s="5">
        <v>2.46</v>
      </c>
      <c r="X10" s="3" t="s">
        <v>34</v>
      </c>
    </row>
    <row r="11" spans="1:24" ht="15.75" customHeight="1" x14ac:dyDescent="0.2">
      <c r="A11" s="3" t="s">
        <v>14</v>
      </c>
      <c r="B11" s="4">
        <v>1.21</v>
      </c>
      <c r="C11" s="4">
        <v>1.26</v>
      </c>
      <c r="D11" s="4">
        <v>1.3</v>
      </c>
      <c r="E11" s="4">
        <v>1.35</v>
      </c>
      <c r="F11" s="4">
        <v>1.39</v>
      </c>
      <c r="G11" s="4">
        <v>1.44</v>
      </c>
      <c r="H11" s="4">
        <v>1.49</v>
      </c>
      <c r="I11" s="4">
        <v>1.54</v>
      </c>
      <c r="J11" s="4">
        <v>1.6</v>
      </c>
      <c r="K11" s="3" t="s">
        <v>35</v>
      </c>
      <c r="L11" s="3"/>
      <c r="N11" s="3" t="s">
        <v>36</v>
      </c>
      <c r="O11" s="5">
        <v>7.47</v>
      </c>
      <c r="P11" s="5">
        <v>7.73</v>
      </c>
      <c r="Q11" s="5">
        <v>8</v>
      </c>
      <c r="R11" s="5">
        <v>8.2799999999999994</v>
      </c>
      <c r="S11" s="5">
        <v>8.57</v>
      </c>
      <c r="T11" s="5">
        <v>8.8699999999999992</v>
      </c>
      <c r="U11" s="5">
        <v>9.18</v>
      </c>
      <c r="V11" s="5">
        <v>9.5</v>
      </c>
      <c r="W11" s="5">
        <v>9.83</v>
      </c>
      <c r="X11" s="3" t="s">
        <v>37</v>
      </c>
    </row>
    <row r="12" spans="1:24" ht="15.75" customHeight="1" x14ac:dyDescent="0.2">
      <c r="A12" s="3" t="s">
        <v>38</v>
      </c>
      <c r="B12" s="4">
        <v>9.6199999999999992</v>
      </c>
      <c r="C12" s="4">
        <v>10.050000000000001</v>
      </c>
      <c r="D12" s="4">
        <v>10.5</v>
      </c>
      <c r="E12" s="4">
        <v>10.97</v>
      </c>
      <c r="F12" s="4">
        <v>11.47</v>
      </c>
      <c r="G12" s="4">
        <v>11.98</v>
      </c>
      <c r="H12" s="4">
        <v>12.52</v>
      </c>
      <c r="I12" s="4">
        <v>13.08</v>
      </c>
      <c r="J12" s="4">
        <v>13.67</v>
      </c>
      <c r="K12" s="3" t="s">
        <v>39</v>
      </c>
      <c r="L12" s="3"/>
      <c r="N12" s="3" t="s">
        <v>40</v>
      </c>
      <c r="O12" s="5">
        <v>0.38</v>
      </c>
      <c r="P12" s="5">
        <v>0.39</v>
      </c>
      <c r="Q12" s="5">
        <v>0.4</v>
      </c>
      <c r="R12" s="5">
        <v>0.41</v>
      </c>
      <c r="S12" s="5">
        <v>0.42</v>
      </c>
      <c r="T12" s="5">
        <v>0.43</v>
      </c>
      <c r="U12" s="5">
        <v>0.44</v>
      </c>
      <c r="V12" s="5">
        <v>0.45</v>
      </c>
      <c r="W12" s="5">
        <v>0.46</v>
      </c>
      <c r="X12" s="3" t="s">
        <v>41</v>
      </c>
    </row>
    <row r="13" spans="1:24" ht="15.75" customHeight="1" x14ac:dyDescent="0.2">
      <c r="A13" s="3" t="s">
        <v>42</v>
      </c>
      <c r="B13" s="4">
        <v>4.2</v>
      </c>
      <c r="C13" s="4">
        <v>4.3499999999999996</v>
      </c>
      <c r="D13" s="4">
        <v>4.5</v>
      </c>
      <c r="E13" s="4">
        <v>4.66</v>
      </c>
      <c r="F13" s="4">
        <v>4.82</v>
      </c>
      <c r="G13" s="4">
        <v>4.99</v>
      </c>
      <c r="H13" s="4">
        <v>5.16</v>
      </c>
      <c r="I13" s="4">
        <v>5.34</v>
      </c>
      <c r="J13" s="4">
        <v>5.53</v>
      </c>
      <c r="K13" s="3" t="s">
        <v>43</v>
      </c>
      <c r="L13" s="3"/>
      <c r="N13" s="3" t="s">
        <v>44</v>
      </c>
      <c r="O13" s="5">
        <v>14.94</v>
      </c>
      <c r="P13" s="5">
        <v>15.46</v>
      </c>
      <c r="Q13" s="5">
        <v>16</v>
      </c>
      <c r="R13" s="5">
        <v>16.559999999999999</v>
      </c>
      <c r="S13" s="5">
        <v>17.14</v>
      </c>
      <c r="T13" s="5">
        <v>17.739999999999998</v>
      </c>
      <c r="U13" s="5">
        <v>18.36</v>
      </c>
      <c r="V13" s="5">
        <v>19</v>
      </c>
      <c r="W13" s="5">
        <v>19.670000000000002</v>
      </c>
      <c r="X13" s="3" t="s">
        <v>45</v>
      </c>
    </row>
    <row r="14" spans="1:24" ht="15.75" customHeight="1" x14ac:dyDescent="0.2">
      <c r="A14" s="3" t="s">
        <v>17</v>
      </c>
      <c r="B14" s="4">
        <v>4.2</v>
      </c>
      <c r="C14" s="4">
        <v>4.3499999999999996</v>
      </c>
      <c r="D14" s="4">
        <v>4.5</v>
      </c>
      <c r="E14" s="4">
        <v>4.66</v>
      </c>
      <c r="F14" s="4">
        <v>4.82</v>
      </c>
      <c r="G14" s="4">
        <v>4.99</v>
      </c>
      <c r="H14" s="4">
        <v>5.16</v>
      </c>
      <c r="I14" s="4">
        <v>5.34</v>
      </c>
      <c r="J14" s="4">
        <v>5.53</v>
      </c>
      <c r="K14" s="3" t="s">
        <v>46</v>
      </c>
      <c r="L14" s="3"/>
      <c r="N14" s="3" t="s">
        <v>47</v>
      </c>
      <c r="O14" s="5">
        <v>1.68</v>
      </c>
      <c r="P14" s="5">
        <v>1.74</v>
      </c>
      <c r="Q14" s="5">
        <v>1.8</v>
      </c>
      <c r="R14" s="5">
        <v>1.86</v>
      </c>
      <c r="S14" s="5">
        <v>1.93</v>
      </c>
      <c r="T14" s="5">
        <v>2</v>
      </c>
      <c r="U14" s="5">
        <v>2.0699999999999998</v>
      </c>
      <c r="V14" s="5">
        <v>2.14</v>
      </c>
      <c r="W14" s="5">
        <v>2.21</v>
      </c>
      <c r="X14" s="3" t="s">
        <v>48</v>
      </c>
    </row>
    <row r="15" spans="1:24" ht="15.75" customHeight="1" x14ac:dyDescent="0.2">
      <c r="A15" s="3" t="s">
        <v>49</v>
      </c>
      <c r="B15" s="4">
        <v>8.24</v>
      </c>
      <c r="C15" s="4">
        <v>8.61</v>
      </c>
      <c r="D15" s="4">
        <v>9</v>
      </c>
      <c r="E15" s="4">
        <v>9.4</v>
      </c>
      <c r="F15" s="4">
        <v>9.83</v>
      </c>
      <c r="G15" s="4">
        <v>10.27</v>
      </c>
      <c r="H15" s="4">
        <v>10.73</v>
      </c>
      <c r="I15" s="4">
        <v>11.22</v>
      </c>
      <c r="J15" s="4">
        <v>11.72</v>
      </c>
      <c r="K15" s="3" t="s">
        <v>50</v>
      </c>
      <c r="L15" s="3"/>
      <c r="N15" s="3" t="s">
        <v>51</v>
      </c>
      <c r="O15" s="5">
        <v>0.95</v>
      </c>
      <c r="P15" s="5">
        <v>0.98</v>
      </c>
      <c r="Q15" s="5">
        <v>1</v>
      </c>
      <c r="R15" s="5">
        <v>1.02</v>
      </c>
      <c r="S15" s="5">
        <v>1.05</v>
      </c>
      <c r="T15" s="5">
        <v>1.08</v>
      </c>
      <c r="U15" s="5">
        <v>1.1000000000000001</v>
      </c>
      <c r="V15" s="5">
        <v>1.1299999999999999</v>
      </c>
      <c r="W15" s="5">
        <v>1.1599999999999999</v>
      </c>
      <c r="X15" s="3" t="s">
        <v>52</v>
      </c>
    </row>
    <row r="16" spans="1:24" ht="15.75" customHeight="1" x14ac:dyDescent="0.2">
      <c r="A16" s="3" t="s">
        <v>53</v>
      </c>
      <c r="B16" s="4">
        <v>2.8</v>
      </c>
      <c r="C16" s="4">
        <v>2.9</v>
      </c>
      <c r="D16" s="4">
        <v>3</v>
      </c>
      <c r="E16" s="4">
        <v>3.1</v>
      </c>
      <c r="F16" s="4">
        <v>3.21</v>
      </c>
      <c r="G16" s="4">
        <v>3.33</v>
      </c>
      <c r="H16" s="4">
        <v>3.44</v>
      </c>
      <c r="I16" s="4">
        <v>3.56</v>
      </c>
      <c r="J16" s="4">
        <v>3.69</v>
      </c>
      <c r="K16" s="3" t="s">
        <v>54</v>
      </c>
      <c r="L16" s="3"/>
      <c r="T16" s="6"/>
      <c r="U16" s="6"/>
      <c r="V16" s="6"/>
      <c r="W16" s="6"/>
    </row>
    <row r="17" spans="1:27" ht="15.75" customHeight="1" x14ac:dyDescent="0.2">
      <c r="A17" s="3" t="s">
        <v>21</v>
      </c>
      <c r="B17" s="4">
        <v>1.96</v>
      </c>
      <c r="C17" s="4">
        <v>2.0299999999999998</v>
      </c>
      <c r="D17" s="4">
        <v>2.1</v>
      </c>
      <c r="E17" s="4">
        <v>2.17</v>
      </c>
      <c r="F17" s="4">
        <v>2.25</v>
      </c>
      <c r="G17" s="4">
        <v>2.33</v>
      </c>
      <c r="H17" s="4">
        <v>2.41</v>
      </c>
      <c r="I17" s="4">
        <v>2.4900000000000002</v>
      </c>
      <c r="J17" s="4">
        <v>2.58</v>
      </c>
      <c r="K17" s="3" t="s">
        <v>55</v>
      </c>
      <c r="L17" s="3"/>
      <c r="Q17" s="7"/>
      <c r="R17" s="7"/>
      <c r="S17" s="7"/>
      <c r="T17" s="6"/>
      <c r="U17" s="6"/>
      <c r="V17" s="6"/>
      <c r="W17" s="6"/>
      <c r="X17" s="7"/>
      <c r="Y17" s="7"/>
      <c r="Z17" s="7"/>
      <c r="AA17" s="7"/>
    </row>
    <row r="18" spans="1:27" ht="15.75" customHeight="1" x14ac:dyDescent="0.2">
      <c r="A18" s="3" t="s">
        <v>25</v>
      </c>
      <c r="B18" s="4">
        <v>1.68</v>
      </c>
      <c r="C18" s="4">
        <v>1.74</v>
      </c>
      <c r="D18" s="4">
        <v>1.8</v>
      </c>
      <c r="E18" s="4">
        <v>1.86</v>
      </c>
      <c r="F18" s="4">
        <v>1.93</v>
      </c>
      <c r="G18" s="4">
        <v>2</v>
      </c>
      <c r="H18" s="4">
        <v>2.0699999999999998</v>
      </c>
      <c r="I18" s="4">
        <v>2.14</v>
      </c>
      <c r="J18" s="4">
        <v>2.21</v>
      </c>
      <c r="K18" s="3" t="s">
        <v>56</v>
      </c>
      <c r="L18" s="3"/>
      <c r="N18" s="1" t="s">
        <v>57</v>
      </c>
      <c r="Q18" s="7"/>
      <c r="T18" s="6"/>
      <c r="U18" s="6"/>
      <c r="V18" s="6"/>
      <c r="W18" s="6"/>
    </row>
    <row r="19" spans="1:27" ht="15.75" customHeight="1" x14ac:dyDescent="0.2">
      <c r="A19" s="3" t="s">
        <v>29</v>
      </c>
      <c r="B19" s="4">
        <v>5.13</v>
      </c>
      <c r="C19" s="4">
        <v>5.31</v>
      </c>
      <c r="D19" s="4">
        <v>5.5</v>
      </c>
      <c r="E19" s="4">
        <v>5.69</v>
      </c>
      <c r="F19" s="4">
        <v>5.89</v>
      </c>
      <c r="G19" s="4">
        <v>6.1</v>
      </c>
      <c r="H19" s="4">
        <v>6.31</v>
      </c>
      <c r="I19" s="4">
        <v>6.53</v>
      </c>
      <c r="J19" s="4">
        <v>6.76</v>
      </c>
      <c r="K19" s="3" t="s">
        <v>58</v>
      </c>
      <c r="L19" s="3"/>
      <c r="Q19" s="7"/>
      <c r="T19" s="6"/>
      <c r="U19" s="6"/>
      <c r="V19" s="6"/>
      <c r="W19" s="6"/>
    </row>
    <row r="20" spans="1:27" ht="15.75" customHeight="1" x14ac:dyDescent="0.2">
      <c r="A20" s="3" t="s">
        <v>33</v>
      </c>
      <c r="B20" s="4">
        <v>5.6</v>
      </c>
      <c r="C20" s="4">
        <v>5.8</v>
      </c>
      <c r="D20" s="4">
        <v>6</v>
      </c>
      <c r="E20" s="4">
        <v>6.21</v>
      </c>
      <c r="F20" s="4">
        <v>6.43</v>
      </c>
      <c r="G20" s="4">
        <v>6.65</v>
      </c>
      <c r="H20" s="4">
        <v>6.89</v>
      </c>
      <c r="I20" s="4">
        <v>7.13</v>
      </c>
      <c r="J20" s="4">
        <v>7.38</v>
      </c>
      <c r="K20" s="3" t="s">
        <v>59</v>
      </c>
      <c r="L20" s="3"/>
      <c r="Q20" s="7"/>
      <c r="T20" s="6"/>
      <c r="U20" s="6"/>
      <c r="V20" s="6"/>
      <c r="W20" s="6"/>
    </row>
    <row r="21" spans="1:27" ht="15.75" customHeight="1" x14ac:dyDescent="0.2">
      <c r="A21" s="3" t="s">
        <v>60</v>
      </c>
      <c r="B21" s="4">
        <v>4.01</v>
      </c>
      <c r="C21" s="4">
        <v>4.1500000000000004</v>
      </c>
      <c r="D21" s="4">
        <v>4.3</v>
      </c>
      <c r="E21" s="4">
        <v>4.45</v>
      </c>
      <c r="F21" s="4">
        <v>4.6100000000000003</v>
      </c>
      <c r="G21" s="4">
        <v>4.7699999999999996</v>
      </c>
      <c r="H21" s="4">
        <v>4.93</v>
      </c>
      <c r="I21" s="4">
        <v>5.1100000000000003</v>
      </c>
      <c r="J21" s="4">
        <v>5.29</v>
      </c>
      <c r="K21" s="3" t="s">
        <v>61</v>
      </c>
      <c r="L21" s="3"/>
      <c r="Q21" s="7"/>
      <c r="T21" s="6"/>
      <c r="U21" s="6"/>
      <c r="V21" s="6"/>
      <c r="W21" s="6"/>
    </row>
    <row r="22" spans="1:27" ht="15.75" customHeight="1" x14ac:dyDescent="0.2">
      <c r="A22" s="3" t="s">
        <v>62</v>
      </c>
      <c r="B22" s="4">
        <v>5.13</v>
      </c>
      <c r="C22" s="4">
        <v>5.31</v>
      </c>
      <c r="D22" s="4">
        <v>5.5</v>
      </c>
      <c r="E22" s="4">
        <v>5.69</v>
      </c>
      <c r="F22" s="4">
        <v>5.89</v>
      </c>
      <c r="G22" s="4">
        <v>6.1</v>
      </c>
      <c r="H22" s="4">
        <v>6.31</v>
      </c>
      <c r="I22" s="4">
        <v>6.53</v>
      </c>
      <c r="J22" s="4">
        <v>6.76</v>
      </c>
      <c r="K22" s="3" t="s">
        <v>63</v>
      </c>
      <c r="L22" s="3"/>
      <c r="Q22" s="7"/>
      <c r="T22" s="6"/>
      <c r="U22" s="6"/>
      <c r="V22" s="6"/>
      <c r="W22" s="6"/>
    </row>
    <row r="23" spans="1:27" ht="15.75" customHeight="1" x14ac:dyDescent="0.2">
      <c r="A23" s="3" t="s">
        <v>36</v>
      </c>
      <c r="B23" s="4">
        <v>3.73</v>
      </c>
      <c r="C23" s="4">
        <v>3.86</v>
      </c>
      <c r="D23" s="4">
        <v>4</v>
      </c>
      <c r="E23" s="4">
        <v>4.1399999999999997</v>
      </c>
      <c r="F23" s="4">
        <v>4.28</v>
      </c>
      <c r="G23" s="4">
        <v>4.43</v>
      </c>
      <c r="H23" s="4">
        <v>4.59</v>
      </c>
      <c r="I23" s="4">
        <v>4.75</v>
      </c>
      <c r="J23" s="4">
        <v>4.92</v>
      </c>
      <c r="K23" s="3" t="s">
        <v>64</v>
      </c>
      <c r="L23" s="3"/>
      <c r="Q23" s="7"/>
      <c r="T23" s="6"/>
      <c r="U23" s="6"/>
      <c r="V23" s="6"/>
      <c r="W23" s="6"/>
    </row>
    <row r="24" spans="1:27" ht="15.75" customHeight="1" x14ac:dyDescent="0.2">
      <c r="A24" s="3" t="s">
        <v>40</v>
      </c>
      <c r="B24" s="4">
        <v>1.1399999999999999</v>
      </c>
      <c r="C24" s="4">
        <v>1.17</v>
      </c>
      <c r="D24" s="4">
        <v>1.2</v>
      </c>
      <c r="E24" s="4">
        <v>1.23</v>
      </c>
      <c r="F24" s="4">
        <v>1.26</v>
      </c>
      <c r="G24" s="4">
        <v>1.29</v>
      </c>
      <c r="H24" s="4">
        <v>1.32</v>
      </c>
      <c r="I24" s="4">
        <v>1.36</v>
      </c>
      <c r="J24" s="4">
        <v>1.39</v>
      </c>
      <c r="K24" s="3" t="s">
        <v>65</v>
      </c>
      <c r="L24" s="3"/>
      <c r="N24" s="7"/>
      <c r="O24" s="7"/>
      <c r="P24" s="7"/>
      <c r="Q24" s="7"/>
      <c r="T24" s="6"/>
      <c r="U24" s="6"/>
      <c r="V24" s="6"/>
      <c r="W24" s="6"/>
    </row>
    <row r="25" spans="1:27" ht="15.75" customHeight="1" x14ac:dyDescent="0.2">
      <c r="A25" s="3" t="s">
        <v>66</v>
      </c>
      <c r="B25" s="4">
        <v>2.8</v>
      </c>
      <c r="C25" s="4">
        <v>2.9</v>
      </c>
      <c r="D25" s="4">
        <v>3</v>
      </c>
      <c r="E25" s="4">
        <v>3.1</v>
      </c>
      <c r="F25" s="4">
        <v>3.21</v>
      </c>
      <c r="G25" s="4">
        <v>3.33</v>
      </c>
      <c r="H25" s="4">
        <v>3.44</v>
      </c>
      <c r="I25" s="4">
        <v>3.56</v>
      </c>
      <c r="J25" s="4">
        <v>3.69</v>
      </c>
      <c r="K25" s="3" t="s">
        <v>67</v>
      </c>
      <c r="L25" s="3"/>
      <c r="N25" s="7"/>
      <c r="Q25" s="7"/>
      <c r="T25" s="6"/>
      <c r="U25" s="6"/>
      <c r="V25" s="6"/>
      <c r="W25" s="6"/>
    </row>
    <row r="26" spans="1:27" ht="15.75" customHeight="1" x14ac:dyDescent="0.2">
      <c r="A26" s="3" t="s">
        <v>68</v>
      </c>
      <c r="B26" s="4">
        <v>3.73</v>
      </c>
      <c r="C26" s="4">
        <v>3.86</v>
      </c>
      <c r="D26" s="4">
        <v>4</v>
      </c>
      <c r="E26" s="4">
        <v>4.1399999999999997</v>
      </c>
      <c r="F26" s="4">
        <v>4.28</v>
      </c>
      <c r="G26" s="4">
        <v>4.43</v>
      </c>
      <c r="H26" s="4">
        <v>4.59</v>
      </c>
      <c r="I26" s="4">
        <v>4.75</v>
      </c>
      <c r="J26" s="4">
        <v>4.92</v>
      </c>
      <c r="K26" s="3" t="s">
        <v>69</v>
      </c>
      <c r="L26" s="3"/>
      <c r="N26" s="7"/>
      <c r="Q26" s="7"/>
      <c r="T26" s="6"/>
      <c r="U26" s="6"/>
      <c r="V26" s="6"/>
      <c r="W26" s="6"/>
    </row>
    <row r="27" spans="1:27" ht="15.75" customHeight="1" x14ac:dyDescent="0.2">
      <c r="A27" s="3" t="s">
        <v>44</v>
      </c>
      <c r="B27" s="4">
        <v>3.27</v>
      </c>
      <c r="C27" s="4">
        <v>3.38</v>
      </c>
      <c r="D27" s="4">
        <v>3.5</v>
      </c>
      <c r="E27" s="4">
        <v>3.62</v>
      </c>
      <c r="F27" s="4">
        <v>3.75</v>
      </c>
      <c r="G27" s="4">
        <v>3.88</v>
      </c>
      <c r="H27" s="4">
        <v>4.0199999999999996</v>
      </c>
      <c r="I27" s="4">
        <v>4.16</v>
      </c>
      <c r="J27" s="4">
        <v>4.3</v>
      </c>
      <c r="K27" s="3" t="s">
        <v>70</v>
      </c>
      <c r="L27" s="3"/>
      <c r="N27" s="7"/>
      <c r="Q27" s="7"/>
      <c r="T27" s="6"/>
      <c r="U27" s="6"/>
      <c r="V27" s="6"/>
      <c r="W27" s="6"/>
    </row>
    <row r="28" spans="1:27" ht="15.75" customHeight="1" x14ac:dyDescent="0.2">
      <c r="A28" s="3" t="s">
        <v>71</v>
      </c>
      <c r="B28" s="4">
        <v>5.6</v>
      </c>
      <c r="C28" s="4">
        <v>5.8</v>
      </c>
      <c r="D28" s="4">
        <v>6</v>
      </c>
      <c r="E28" s="4">
        <v>6.21</v>
      </c>
      <c r="F28" s="4">
        <v>6.43</v>
      </c>
      <c r="G28" s="4">
        <v>6.65</v>
      </c>
      <c r="H28" s="4">
        <v>6.89</v>
      </c>
      <c r="I28" s="4">
        <v>7.13</v>
      </c>
      <c r="J28" s="4">
        <v>7.38</v>
      </c>
      <c r="K28" s="3" t="s">
        <v>72</v>
      </c>
      <c r="L28" s="3"/>
      <c r="N28" s="7"/>
      <c r="Q28" s="7"/>
      <c r="T28" s="6"/>
      <c r="U28" s="6"/>
      <c r="V28" s="6"/>
      <c r="W28" s="6"/>
    </row>
    <row r="29" spans="1:27" ht="15.75" customHeight="1" x14ac:dyDescent="0.2">
      <c r="A29" s="3" t="s">
        <v>73</v>
      </c>
      <c r="B29" s="4">
        <v>2.15</v>
      </c>
      <c r="C29" s="4">
        <v>2.2200000000000002</v>
      </c>
      <c r="D29" s="4">
        <v>2.2999999999999998</v>
      </c>
      <c r="E29" s="4">
        <v>2.38</v>
      </c>
      <c r="F29" s="4">
        <v>2.46</v>
      </c>
      <c r="G29" s="4">
        <v>2.5499999999999998</v>
      </c>
      <c r="H29" s="4">
        <v>2.64</v>
      </c>
      <c r="I29" s="4">
        <v>2.73</v>
      </c>
      <c r="J29" s="4">
        <v>2.83</v>
      </c>
      <c r="K29" s="3" t="s">
        <v>74</v>
      </c>
      <c r="L29" s="3"/>
      <c r="N29" s="7"/>
      <c r="Q29" s="7"/>
      <c r="T29" s="6"/>
      <c r="U29" s="6"/>
      <c r="V29" s="6"/>
      <c r="W29" s="6"/>
    </row>
    <row r="30" spans="1:27" ht="15.75" customHeight="1" x14ac:dyDescent="0.2">
      <c r="A30" s="3" t="s">
        <v>75</v>
      </c>
      <c r="B30" s="4">
        <v>4.2</v>
      </c>
      <c r="C30" s="4">
        <v>4.3499999999999996</v>
      </c>
      <c r="D30" s="4">
        <v>4.5</v>
      </c>
      <c r="E30" s="4">
        <v>4.66</v>
      </c>
      <c r="F30" s="4">
        <v>4.82</v>
      </c>
      <c r="G30" s="4">
        <v>4.99</v>
      </c>
      <c r="H30" s="4">
        <v>5.16</v>
      </c>
      <c r="I30" s="4">
        <v>5.34</v>
      </c>
      <c r="J30" s="4">
        <v>5.53</v>
      </c>
      <c r="K30" s="3" t="s">
        <v>76</v>
      </c>
      <c r="L30" s="3"/>
      <c r="N30" s="7"/>
      <c r="Q30" s="7"/>
      <c r="T30" s="6"/>
      <c r="U30" s="6"/>
      <c r="V30" s="6"/>
      <c r="W30" s="6"/>
    </row>
    <row r="31" spans="1:27" ht="15.75" customHeight="1" x14ac:dyDescent="0.2">
      <c r="A31" s="3" t="s">
        <v>77</v>
      </c>
      <c r="B31" s="4">
        <v>2.0499999999999998</v>
      </c>
      <c r="C31" s="4">
        <v>2.13</v>
      </c>
      <c r="D31" s="4">
        <v>2.2000000000000002</v>
      </c>
      <c r="E31" s="4">
        <v>2.2799999999999998</v>
      </c>
      <c r="F31" s="4">
        <v>2.36</v>
      </c>
      <c r="G31" s="4">
        <v>2.44</v>
      </c>
      <c r="H31" s="4">
        <v>2.52</v>
      </c>
      <c r="I31" s="4">
        <v>2.61</v>
      </c>
      <c r="J31" s="4">
        <v>2.7</v>
      </c>
      <c r="K31" s="3" t="s">
        <v>78</v>
      </c>
      <c r="L31" s="3"/>
      <c r="N31" s="7"/>
      <c r="Q31" s="7"/>
      <c r="T31" s="6"/>
      <c r="U31" s="6"/>
      <c r="V31" s="6"/>
      <c r="W31" s="6"/>
    </row>
    <row r="32" spans="1:27" ht="15.75" customHeight="1" x14ac:dyDescent="0.2">
      <c r="A32" s="3" t="s">
        <v>79</v>
      </c>
      <c r="B32" s="4">
        <v>6.87</v>
      </c>
      <c r="C32" s="4">
        <v>7.18</v>
      </c>
      <c r="D32" s="4">
        <v>7.5</v>
      </c>
      <c r="E32" s="4">
        <v>7.84</v>
      </c>
      <c r="F32" s="4">
        <v>8.19</v>
      </c>
      <c r="G32" s="4">
        <v>8.56</v>
      </c>
      <c r="H32" s="4">
        <v>8.94</v>
      </c>
      <c r="I32" s="4">
        <v>9.35</v>
      </c>
      <c r="J32" s="4">
        <v>9.77</v>
      </c>
      <c r="K32" s="3" t="s">
        <v>80</v>
      </c>
      <c r="L32" s="3"/>
      <c r="N32" s="7"/>
      <c r="T32" s="6"/>
      <c r="U32" s="6"/>
      <c r="V32" s="6"/>
      <c r="W32" s="6"/>
    </row>
    <row r="33" spans="1:23" ht="15.75" customHeight="1" x14ac:dyDescent="0.2">
      <c r="A33" s="3" t="s">
        <v>81</v>
      </c>
      <c r="B33" s="4">
        <v>10.07</v>
      </c>
      <c r="C33" s="4">
        <v>10.53</v>
      </c>
      <c r="D33" s="4">
        <v>11</v>
      </c>
      <c r="E33" s="4">
        <v>11.49</v>
      </c>
      <c r="F33" s="4">
        <v>12.01</v>
      </c>
      <c r="G33" s="4">
        <v>12.55</v>
      </c>
      <c r="H33" s="4">
        <v>13.12</v>
      </c>
      <c r="I33" s="4">
        <v>13.71</v>
      </c>
      <c r="J33" s="4">
        <v>14.32</v>
      </c>
      <c r="K33" s="3" t="s">
        <v>82</v>
      </c>
      <c r="L33" s="3"/>
      <c r="N33" s="7"/>
      <c r="T33" s="6"/>
      <c r="U33" s="6"/>
      <c r="V33" s="6"/>
      <c r="W33" s="6"/>
    </row>
    <row r="34" spans="1:23" ht="15.75" customHeight="1" x14ac:dyDescent="0.2">
      <c r="A34" s="3" t="s">
        <v>83</v>
      </c>
      <c r="B34" s="4">
        <v>2.15</v>
      </c>
      <c r="C34" s="4">
        <v>2.2200000000000002</v>
      </c>
      <c r="D34" s="4">
        <v>2.2999999999999998</v>
      </c>
      <c r="E34" s="4">
        <v>2.38</v>
      </c>
      <c r="F34" s="4">
        <v>2.46</v>
      </c>
      <c r="G34" s="4">
        <v>2.5499999999999998</v>
      </c>
      <c r="H34" s="4">
        <v>2.64</v>
      </c>
      <c r="I34" s="4">
        <v>2.73</v>
      </c>
      <c r="J34" s="4">
        <v>2.83</v>
      </c>
      <c r="K34" s="3" t="s">
        <v>84</v>
      </c>
      <c r="L34" s="3"/>
      <c r="N34" s="7"/>
      <c r="T34" s="6"/>
      <c r="U34" s="6"/>
      <c r="V34" s="6"/>
      <c r="W34" s="6"/>
    </row>
    <row r="35" spans="1:23" ht="15.75" customHeight="1" x14ac:dyDescent="0.2">
      <c r="A35" s="3" t="s">
        <v>47</v>
      </c>
      <c r="B35" s="4">
        <v>4.2</v>
      </c>
      <c r="C35" s="4">
        <v>4.3499999999999996</v>
      </c>
      <c r="D35" s="4">
        <v>4.5</v>
      </c>
      <c r="E35" s="4">
        <v>4.66</v>
      </c>
      <c r="F35" s="4">
        <v>4.82</v>
      </c>
      <c r="G35" s="4">
        <v>4.99</v>
      </c>
      <c r="H35" s="4">
        <v>5.16</v>
      </c>
      <c r="I35" s="4">
        <v>5.34</v>
      </c>
      <c r="J35" s="4">
        <v>5.53</v>
      </c>
      <c r="K35" s="3" t="s">
        <v>85</v>
      </c>
      <c r="L35" s="3"/>
      <c r="N35" s="7"/>
      <c r="T35" s="6"/>
      <c r="U35" s="6"/>
      <c r="V35" s="6"/>
      <c r="W35" s="6"/>
    </row>
    <row r="36" spans="1:23" ht="15.75" customHeight="1" x14ac:dyDescent="0.2">
      <c r="A36" s="3" t="s">
        <v>51</v>
      </c>
      <c r="B36" s="4">
        <v>2.33</v>
      </c>
      <c r="C36" s="4">
        <v>2.42</v>
      </c>
      <c r="D36" s="4">
        <v>2.5</v>
      </c>
      <c r="E36" s="4">
        <v>2.59</v>
      </c>
      <c r="F36" s="4">
        <v>2.68</v>
      </c>
      <c r="G36" s="4">
        <v>2.77</v>
      </c>
      <c r="H36" s="4">
        <v>2.87</v>
      </c>
      <c r="I36" s="4">
        <v>2.97</v>
      </c>
      <c r="J36" s="4">
        <v>3.07</v>
      </c>
      <c r="K36" s="3" t="s">
        <v>86</v>
      </c>
      <c r="L36" s="3"/>
      <c r="N36" s="7"/>
      <c r="T36" s="6"/>
      <c r="U36" s="6"/>
      <c r="V36" s="6"/>
      <c r="W36" s="6"/>
    </row>
    <row r="37" spans="1:23" ht="15.75" customHeight="1" x14ac:dyDescent="0.2">
      <c r="A37" s="3" t="s">
        <v>87</v>
      </c>
      <c r="B37" s="4">
        <v>2.61</v>
      </c>
      <c r="C37" s="4">
        <v>2.71</v>
      </c>
      <c r="D37" s="4">
        <v>2.8</v>
      </c>
      <c r="E37" s="4">
        <v>2.9</v>
      </c>
      <c r="F37" s="4">
        <v>3</v>
      </c>
      <c r="G37" s="4">
        <v>3.1</v>
      </c>
      <c r="H37" s="4">
        <v>3.21</v>
      </c>
      <c r="I37" s="4">
        <v>3.33</v>
      </c>
      <c r="J37" s="4">
        <v>3.44</v>
      </c>
      <c r="K37" s="3" t="s">
        <v>88</v>
      </c>
      <c r="L37" s="3"/>
      <c r="N37" s="7"/>
      <c r="T37" s="6"/>
      <c r="U37" s="6"/>
      <c r="V37" s="6"/>
      <c r="W37" s="6"/>
    </row>
    <row r="38" spans="1:23" ht="15.75" customHeight="1" x14ac:dyDescent="0.2">
      <c r="A38" s="3" t="s">
        <v>89</v>
      </c>
      <c r="B38" s="4">
        <v>1.05</v>
      </c>
      <c r="C38" s="4">
        <v>1.07</v>
      </c>
      <c r="D38" s="4">
        <v>1.1000000000000001</v>
      </c>
      <c r="E38" s="4">
        <v>1.1299999999999999</v>
      </c>
      <c r="F38" s="4">
        <v>1.1599999999999999</v>
      </c>
      <c r="G38" s="4">
        <v>1.18</v>
      </c>
      <c r="H38" s="4">
        <v>1.21</v>
      </c>
      <c r="I38" s="4">
        <v>1.24</v>
      </c>
      <c r="J38" s="4">
        <v>1.28</v>
      </c>
      <c r="K38" s="3" t="s">
        <v>90</v>
      </c>
      <c r="L38" s="3"/>
      <c r="N38" s="7"/>
      <c r="T38" s="6"/>
      <c r="U38" s="6"/>
      <c r="V38" s="6"/>
      <c r="W38" s="6"/>
    </row>
    <row r="39" spans="1:23" ht="15.75" customHeight="1" x14ac:dyDescent="0.2">
      <c r="B39" s="8"/>
      <c r="N39" s="7"/>
    </row>
    <row r="40" spans="1:23" ht="15.75" customHeight="1" x14ac:dyDescent="0.2">
      <c r="A40" s="1" t="s">
        <v>91</v>
      </c>
      <c r="N40" s="7"/>
    </row>
    <row r="41" spans="1:23" ht="15.75" customHeight="1" x14ac:dyDescent="0.2">
      <c r="N41" s="7"/>
    </row>
    <row r="42" spans="1:23" ht="15.75" customHeight="1" x14ac:dyDescent="0.2">
      <c r="N42" s="7"/>
    </row>
    <row r="43" spans="1:23" ht="15.75" customHeight="1" x14ac:dyDescent="0.2">
      <c r="N43" s="7"/>
    </row>
    <row r="44" spans="1:23" ht="15.75" customHeight="1" x14ac:dyDescent="0.2">
      <c r="N44" s="7"/>
    </row>
    <row r="45" spans="1:23" ht="15.75" customHeight="1" x14ac:dyDescent="0.2">
      <c r="N45" s="7"/>
    </row>
    <row r="46" spans="1:23" ht="15.75" customHeight="1" x14ac:dyDescent="0.2">
      <c r="N46" s="7"/>
    </row>
    <row r="47" spans="1:23" ht="15.75" customHeight="1" x14ac:dyDescent="0.2">
      <c r="N47" s="7"/>
    </row>
    <row r="48" spans="1:23" ht="15.75" customHeight="1" x14ac:dyDescent="0.2">
      <c r="N48" s="7"/>
    </row>
    <row r="49" spans="14:14" ht="15.75" customHeight="1" x14ac:dyDescent="0.2">
      <c r="N49" s="7"/>
    </row>
    <row r="50" spans="14:14" ht="15.75" customHeight="1" x14ac:dyDescent="0.2">
      <c r="N50" s="7"/>
    </row>
    <row r="51" spans="14:14" ht="15.75" customHeight="1" x14ac:dyDescent="0.2">
      <c r="N51" s="7"/>
    </row>
    <row r="52" spans="14:14" ht="15.75" customHeight="1" x14ac:dyDescent="0.2">
      <c r="N52" s="7"/>
    </row>
    <row r="53" spans="14:14" ht="15.75" customHeight="1" x14ac:dyDescent="0.2">
      <c r="N53" s="7"/>
    </row>
    <row r="54" spans="14:14" ht="15.75" customHeight="1" x14ac:dyDescent="0.2">
      <c r="N54" s="7"/>
    </row>
    <row r="55" spans="14:14" ht="15.75" customHeight="1" x14ac:dyDescent="0.2">
      <c r="N55" s="7"/>
    </row>
    <row r="56" spans="14:14" ht="15.75" customHeight="1" x14ac:dyDescent="0.2">
      <c r="N56" s="7"/>
    </row>
    <row r="57" spans="14:14" ht="15.75" customHeight="1" x14ac:dyDescent="0.2">
      <c r="N57" s="7"/>
    </row>
    <row r="58" spans="14:14" ht="15.75" customHeight="1" x14ac:dyDescent="0.2">
      <c r="N58" s="7"/>
    </row>
    <row r="59" spans="14:14" ht="15.75" customHeight="1" x14ac:dyDescent="0.2">
      <c r="N59" s="7"/>
    </row>
    <row r="60" spans="14:14" ht="15.75" customHeight="1" x14ac:dyDescent="0.2">
      <c r="N60" s="7"/>
    </row>
    <row r="61" spans="14:14" ht="15.75" customHeight="1" x14ac:dyDescent="0.2">
      <c r="N61" s="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zoomScaleNormal="100" workbookViewId="0"/>
  </sheetViews>
  <sheetFormatPr baseColWidth="10" defaultColWidth="10.5" defaultRowHeight="16" x14ac:dyDescent="0.2"/>
  <sheetData>
    <row r="1" spans="1:16" ht="15.75" customHeight="1" x14ac:dyDescent="0.2">
      <c r="A1" s="7" t="s">
        <v>0</v>
      </c>
      <c r="B1" s="7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7" t="s">
        <v>97</v>
      </c>
      <c r="H1" s="7" t="s">
        <v>98</v>
      </c>
      <c r="I1" s="7" t="s">
        <v>99</v>
      </c>
      <c r="J1" s="7" t="s">
        <v>100</v>
      </c>
      <c r="K1" s="7" t="s">
        <v>101</v>
      </c>
      <c r="L1" s="7" t="s">
        <v>102</v>
      </c>
      <c r="M1" s="7" t="s">
        <v>103</v>
      </c>
      <c r="N1" s="7" t="s">
        <v>104</v>
      </c>
      <c r="O1" s="7" t="s">
        <v>105</v>
      </c>
      <c r="P1" s="7" t="s">
        <v>106</v>
      </c>
    </row>
    <row r="2" spans="1:16" ht="15.75" customHeight="1" x14ac:dyDescent="0.2">
      <c r="A2" s="7" t="s">
        <v>2</v>
      </c>
      <c r="B2">
        <v>0.125</v>
      </c>
      <c r="C2">
        <v>0.09</v>
      </c>
      <c r="D2">
        <v>1.6500000000000001E-2</v>
      </c>
      <c r="E2">
        <v>0.12670000000000001</v>
      </c>
      <c r="F2">
        <v>0.15279999999999999</v>
      </c>
      <c r="G2">
        <v>0.1085</v>
      </c>
      <c r="H2">
        <v>1.41E-2</v>
      </c>
      <c r="I2">
        <v>0.187</v>
      </c>
      <c r="J2">
        <v>3.1899999999999998E-2</v>
      </c>
      <c r="K2">
        <v>4.5699999999999998E-2</v>
      </c>
      <c r="L2">
        <v>3.3999999999999998E-3</v>
      </c>
      <c r="M2">
        <v>5.8000000000000003E-2</v>
      </c>
      <c r="N2">
        <v>3.39E-2</v>
      </c>
      <c r="O2">
        <v>6.7999999999999996E-3</v>
      </c>
      <c r="P2" s="9">
        <f t="shared" ref="P2:P15" si="0">SUM(B2:O2)</f>
        <v>1.0003</v>
      </c>
    </row>
    <row r="3" spans="1:16" ht="15.75" customHeight="1" x14ac:dyDescent="0.2">
      <c r="A3" s="7" t="s">
        <v>7</v>
      </c>
      <c r="B3">
        <v>0.191</v>
      </c>
      <c r="C3">
        <v>0.17630000000000001</v>
      </c>
      <c r="D3">
        <v>2.5700000000000001E-2</v>
      </c>
      <c r="E3">
        <v>9.3700000000000006E-2</v>
      </c>
      <c r="F3">
        <v>0.15310000000000001</v>
      </c>
      <c r="G3">
        <v>1.23E-2</v>
      </c>
      <c r="H3">
        <v>9.98E-2</v>
      </c>
      <c r="I3">
        <v>5.4899999999999997E-2</v>
      </c>
      <c r="J3">
        <v>1.8800000000000001E-2</v>
      </c>
      <c r="K3">
        <v>4.0000000000000001E-3</v>
      </c>
      <c r="L3">
        <v>2.41E-2</v>
      </c>
      <c r="M3">
        <v>2.93E-2</v>
      </c>
      <c r="N3">
        <v>4.3E-3</v>
      </c>
      <c r="O3">
        <v>0.11269999999999999</v>
      </c>
      <c r="P3" s="9">
        <f t="shared" si="0"/>
        <v>1</v>
      </c>
    </row>
    <row r="4" spans="1:16" ht="15.75" customHeight="1" x14ac:dyDescent="0.2">
      <c r="A4" s="7" t="s">
        <v>10</v>
      </c>
      <c r="B4">
        <v>5.1999999999999998E-2</v>
      </c>
      <c r="C4">
        <v>1.8E-3</v>
      </c>
      <c r="D4">
        <v>2.7199999999999998E-2</v>
      </c>
      <c r="E4">
        <v>2.4199999999999999E-2</v>
      </c>
      <c r="F4">
        <v>5.0799999999999998E-2</v>
      </c>
      <c r="G4">
        <v>0.24360000000000001</v>
      </c>
      <c r="H4">
        <v>0.1348</v>
      </c>
      <c r="I4">
        <v>4.5499999999999999E-2</v>
      </c>
      <c r="J4">
        <v>1.5900000000000001E-2</v>
      </c>
      <c r="K4">
        <v>0.1487</v>
      </c>
      <c r="L4">
        <v>2.4299999999999999E-2</v>
      </c>
      <c r="M4">
        <v>4.0300000000000002E-2</v>
      </c>
      <c r="N4">
        <v>0.1464</v>
      </c>
      <c r="O4">
        <v>4.4400000000000002E-2</v>
      </c>
      <c r="P4" s="9">
        <f t="shared" si="0"/>
        <v>0.9998999999999999</v>
      </c>
    </row>
    <row r="5" spans="1:16" ht="15.75" customHeight="1" x14ac:dyDescent="0.2">
      <c r="A5" s="7" t="s">
        <v>14</v>
      </c>
      <c r="B5">
        <v>0.152</v>
      </c>
      <c r="C5">
        <v>1.14E-2</v>
      </c>
      <c r="D5">
        <v>4.1399999999999999E-2</v>
      </c>
      <c r="E5">
        <v>5.4800000000000001E-2</v>
      </c>
      <c r="F5">
        <v>1.89E-2</v>
      </c>
      <c r="G5">
        <v>0.14599999999999999</v>
      </c>
      <c r="H5">
        <v>0.2114</v>
      </c>
      <c r="I5">
        <v>9.2999999999999992E-3</v>
      </c>
      <c r="J5">
        <v>7.5399999999999995E-2</v>
      </c>
      <c r="K5">
        <v>4.6800000000000001E-2</v>
      </c>
      <c r="L5">
        <v>8.5400000000000004E-2</v>
      </c>
      <c r="M5">
        <v>0.1129</v>
      </c>
      <c r="N5">
        <v>5.9999999999999995E-4</v>
      </c>
      <c r="O5">
        <v>3.3700000000000001E-2</v>
      </c>
      <c r="P5" s="9">
        <f t="shared" si="0"/>
        <v>1</v>
      </c>
    </row>
    <row r="6" spans="1:16" ht="15.75" customHeight="1" x14ac:dyDescent="0.2">
      <c r="A6" s="7" t="s">
        <v>17</v>
      </c>
      <c r="B6">
        <v>0.13100000000000001</v>
      </c>
      <c r="C6">
        <v>0.1353</v>
      </c>
      <c r="D6">
        <v>2.9999999999999997E-4</v>
      </c>
      <c r="E6">
        <v>0.21629999999999999</v>
      </c>
      <c r="F6">
        <v>4.2099999999999999E-2</v>
      </c>
      <c r="G6">
        <v>1.72E-2</v>
      </c>
      <c r="H6">
        <v>0.02</v>
      </c>
      <c r="I6">
        <v>1.1299999999999999E-2</v>
      </c>
      <c r="J6">
        <v>4.4200000000000003E-2</v>
      </c>
      <c r="K6">
        <v>3.6499999999999998E-2</v>
      </c>
      <c r="L6">
        <v>0.1363</v>
      </c>
      <c r="M6">
        <v>6.1999999999999998E-3</v>
      </c>
      <c r="N6">
        <v>0.17299999999999999</v>
      </c>
      <c r="O6">
        <v>3.0099999999999998E-2</v>
      </c>
      <c r="P6" s="9">
        <f t="shared" si="0"/>
        <v>0.99980000000000002</v>
      </c>
    </row>
    <row r="7" spans="1:16" ht="15.75" customHeight="1" x14ac:dyDescent="0.2">
      <c r="A7" s="7" t="s">
        <v>21</v>
      </c>
      <c r="B7">
        <v>0.184</v>
      </c>
      <c r="C7">
        <v>2.5899999999999999E-2</v>
      </c>
      <c r="D7">
        <v>5.0999999999999997E-2</v>
      </c>
      <c r="E7">
        <v>0.1065</v>
      </c>
      <c r="F7">
        <v>8.2000000000000007E-3</v>
      </c>
      <c r="G7">
        <v>1.0500000000000001E-2</v>
      </c>
      <c r="H7">
        <v>3.2800000000000003E-2</v>
      </c>
      <c r="I7">
        <v>0.1246</v>
      </c>
      <c r="J7">
        <v>4.7100000000000003E-2</v>
      </c>
      <c r="K7">
        <v>4.3999999999999997E-2</v>
      </c>
      <c r="L7">
        <v>8.5099999999999995E-2</v>
      </c>
      <c r="M7">
        <v>3.3399999999999999E-2</v>
      </c>
      <c r="N7">
        <v>0.246</v>
      </c>
      <c r="O7">
        <v>8.9999999999999998E-4</v>
      </c>
      <c r="P7" s="9">
        <f t="shared" si="0"/>
        <v>1</v>
      </c>
    </row>
    <row r="8" spans="1:16" ht="15.75" customHeight="1" x14ac:dyDescent="0.2">
      <c r="A8" s="7" t="s">
        <v>25</v>
      </c>
      <c r="B8">
        <v>0.19</v>
      </c>
      <c r="C8">
        <v>1.46E-2</v>
      </c>
      <c r="D8">
        <v>1.84E-2</v>
      </c>
      <c r="E8">
        <v>9.4100000000000003E-2</v>
      </c>
      <c r="F8">
        <v>1.35E-2</v>
      </c>
      <c r="G8">
        <v>6.9000000000000006E-2</v>
      </c>
      <c r="H8">
        <v>7.4000000000000003E-3</v>
      </c>
      <c r="I8">
        <v>3.1300000000000001E-2</v>
      </c>
      <c r="J8">
        <v>0.1227</v>
      </c>
      <c r="K8">
        <v>3.3300000000000003E-2</v>
      </c>
      <c r="L8">
        <v>7.1099999999999997E-2</v>
      </c>
      <c r="M8">
        <v>0.1356</v>
      </c>
      <c r="N8">
        <v>6.13E-2</v>
      </c>
      <c r="O8">
        <v>0.13750000000000001</v>
      </c>
      <c r="P8" s="9">
        <f t="shared" si="0"/>
        <v>0.99980000000000002</v>
      </c>
    </row>
    <row r="9" spans="1:16" ht="15.75" customHeight="1" x14ac:dyDescent="0.2">
      <c r="A9" s="7" t="s">
        <v>29</v>
      </c>
      <c r="B9">
        <v>0.22900000000000001</v>
      </c>
      <c r="C9">
        <v>0.12039999999999999</v>
      </c>
      <c r="D9">
        <v>3.7000000000000002E-3</v>
      </c>
      <c r="E9">
        <v>0.1143</v>
      </c>
      <c r="F9">
        <v>7.5300000000000006E-2</v>
      </c>
      <c r="G9">
        <v>1.9300000000000001E-2</v>
      </c>
      <c r="H9">
        <v>3.6799999999999999E-2</v>
      </c>
      <c r="I9">
        <v>3.1899999999999998E-2</v>
      </c>
      <c r="J9">
        <v>4.7199999999999999E-2</v>
      </c>
      <c r="K9">
        <v>2.9999999999999997E-4</v>
      </c>
      <c r="L9">
        <v>0.17269999999999999</v>
      </c>
      <c r="M9">
        <v>1.15E-2</v>
      </c>
      <c r="N9">
        <v>0.1215</v>
      </c>
      <c r="O9">
        <v>1.6500000000000001E-2</v>
      </c>
      <c r="P9" s="9">
        <f t="shared" si="0"/>
        <v>1.0004</v>
      </c>
    </row>
    <row r="10" spans="1:16" ht="15.75" customHeight="1" x14ac:dyDescent="0.2">
      <c r="A10" s="7" t="s">
        <v>33</v>
      </c>
      <c r="B10">
        <v>0.28100000000000003</v>
      </c>
      <c r="C10">
        <v>6.1800000000000001E-2</v>
      </c>
      <c r="D10">
        <v>5.4000000000000003E-3</v>
      </c>
      <c r="E10">
        <v>6.8599999999999994E-2</v>
      </c>
      <c r="F10">
        <v>7.3700000000000002E-2</v>
      </c>
      <c r="G10">
        <v>4.7300000000000002E-2</v>
      </c>
      <c r="H10">
        <v>2.8799999999999999E-2</v>
      </c>
      <c r="I10">
        <v>0.1157</v>
      </c>
      <c r="J10">
        <v>3.3099999999999997E-2</v>
      </c>
      <c r="K10">
        <v>2.2000000000000001E-3</v>
      </c>
      <c r="L10">
        <v>0.1396</v>
      </c>
      <c r="M10">
        <v>1.1900000000000001E-2</v>
      </c>
      <c r="N10">
        <v>3.95E-2</v>
      </c>
      <c r="O10">
        <v>9.1700000000000004E-2</v>
      </c>
      <c r="P10" s="9">
        <f t="shared" si="0"/>
        <v>1.0003000000000002</v>
      </c>
    </row>
    <row r="11" spans="1:16" ht="15.75" customHeight="1" x14ac:dyDescent="0.2">
      <c r="A11" s="7" t="s">
        <v>36</v>
      </c>
      <c r="B11">
        <v>0.20200000000000001</v>
      </c>
      <c r="C11">
        <v>3.0599999999999999E-2</v>
      </c>
      <c r="D11">
        <v>8.3799999999999999E-2</v>
      </c>
      <c r="E11">
        <v>0.1416</v>
      </c>
      <c r="F11">
        <v>3.1699999999999999E-2</v>
      </c>
      <c r="G11">
        <v>0.1086</v>
      </c>
      <c r="H11">
        <v>9.8900000000000002E-2</v>
      </c>
      <c r="I11">
        <v>4.6199999999999998E-2</v>
      </c>
      <c r="J11">
        <v>6.9099999999999995E-2</v>
      </c>
      <c r="K11">
        <v>2.0500000000000001E-2</v>
      </c>
      <c r="L11">
        <v>9.5100000000000004E-2</v>
      </c>
      <c r="M11">
        <v>1.3899999999999999E-2</v>
      </c>
      <c r="N11">
        <v>3.3099999999999997E-2</v>
      </c>
      <c r="O11">
        <v>2.4899999999999999E-2</v>
      </c>
      <c r="P11" s="9">
        <f t="shared" si="0"/>
        <v>1</v>
      </c>
    </row>
    <row r="12" spans="1:16" ht="15.75" customHeight="1" x14ac:dyDescent="0.2">
      <c r="A12" s="7" t="s">
        <v>40</v>
      </c>
      <c r="B12">
        <v>0.151</v>
      </c>
      <c r="C12">
        <v>7.9000000000000008E-3</v>
      </c>
      <c r="D12">
        <v>4.9399999999999999E-2</v>
      </c>
      <c r="E12">
        <v>0.13389999999999999</v>
      </c>
      <c r="F12">
        <v>0.12</v>
      </c>
      <c r="G12">
        <v>0.11360000000000001</v>
      </c>
      <c r="H12">
        <v>2.0000000000000001E-4</v>
      </c>
      <c r="I12">
        <v>2.6700000000000002E-2</v>
      </c>
      <c r="J12">
        <v>0.2316</v>
      </c>
      <c r="K12">
        <v>2.87E-2</v>
      </c>
      <c r="L12">
        <v>2.0299999999999999E-2</v>
      </c>
      <c r="M12">
        <v>3.7000000000000002E-3</v>
      </c>
      <c r="N12">
        <v>9.6100000000000005E-2</v>
      </c>
      <c r="O12">
        <v>1.6899999999999998E-2</v>
      </c>
      <c r="P12" s="9">
        <f t="shared" si="0"/>
        <v>1</v>
      </c>
    </row>
    <row r="13" spans="1:16" ht="15.75" customHeight="1" x14ac:dyDescent="0.2">
      <c r="A13" s="7" t="s">
        <v>44</v>
      </c>
      <c r="B13">
        <v>0.27800000000000002</v>
      </c>
      <c r="C13">
        <v>0.21</v>
      </c>
      <c r="D13">
        <v>4.1300000000000003E-2</v>
      </c>
      <c r="E13">
        <v>2.1600000000000001E-2</v>
      </c>
      <c r="F13">
        <v>2.4500000000000001E-2</v>
      </c>
      <c r="G13">
        <v>4.6399999999999997E-2</v>
      </c>
      <c r="H13">
        <v>8.3299999999999999E-2</v>
      </c>
      <c r="I13">
        <v>2.1999999999999999E-2</v>
      </c>
      <c r="J13">
        <v>1.34E-2</v>
      </c>
      <c r="K13">
        <v>9.4500000000000001E-2</v>
      </c>
      <c r="L13">
        <v>5.5300000000000002E-2</v>
      </c>
      <c r="M13">
        <v>3.4200000000000001E-2</v>
      </c>
      <c r="N13">
        <v>5.3999999999999999E-2</v>
      </c>
      <c r="O13">
        <v>2.12E-2</v>
      </c>
      <c r="P13" s="9">
        <f t="shared" si="0"/>
        <v>0.99970000000000003</v>
      </c>
    </row>
    <row r="14" spans="1:16" ht="15.75" customHeight="1" x14ac:dyDescent="0.2">
      <c r="A14" s="7" t="s">
        <v>47</v>
      </c>
      <c r="B14">
        <v>0.186</v>
      </c>
      <c r="C14">
        <v>8.9999999999999998E-4</v>
      </c>
      <c r="D14">
        <v>3.1800000000000002E-2</v>
      </c>
      <c r="E14">
        <v>0.1406</v>
      </c>
      <c r="F14">
        <v>7.7799999999999994E-2</v>
      </c>
      <c r="G14">
        <v>7.1999999999999995E-2</v>
      </c>
      <c r="H14">
        <v>0.2077</v>
      </c>
      <c r="I14">
        <v>4.41E-2</v>
      </c>
      <c r="J14">
        <v>7.6E-3</v>
      </c>
      <c r="K14">
        <v>3.8E-3</v>
      </c>
      <c r="L14">
        <v>5.2299999999999999E-2</v>
      </c>
      <c r="M14">
        <v>2.0500000000000001E-2</v>
      </c>
      <c r="N14">
        <v>0.10059999999999999</v>
      </c>
      <c r="O14">
        <v>5.4199999999999998E-2</v>
      </c>
      <c r="P14" s="9">
        <f t="shared" si="0"/>
        <v>0.99990000000000012</v>
      </c>
    </row>
    <row r="15" spans="1:16" ht="15.75" customHeight="1" x14ac:dyDescent="0.2">
      <c r="A15" s="7" t="s">
        <v>51</v>
      </c>
      <c r="B15">
        <v>0.182</v>
      </c>
      <c r="C15">
        <v>4.3700000000000003E-2</v>
      </c>
      <c r="D15">
        <v>7.2300000000000003E-2</v>
      </c>
      <c r="E15">
        <v>7.6999999999999999E-2</v>
      </c>
      <c r="F15">
        <v>1.0800000000000001E-2</v>
      </c>
      <c r="G15">
        <v>8.6999999999999994E-3</v>
      </c>
      <c r="H15">
        <v>5.1499999999999997E-2</v>
      </c>
      <c r="I15">
        <v>4.7600000000000003E-2</v>
      </c>
      <c r="J15">
        <v>6.8400000000000002E-2</v>
      </c>
      <c r="K15">
        <v>2.18E-2</v>
      </c>
      <c r="L15">
        <v>2.6100000000000002E-2</v>
      </c>
      <c r="M15">
        <v>0.19719999999999999</v>
      </c>
      <c r="N15">
        <v>0.19</v>
      </c>
      <c r="O15">
        <v>2.8999999999999998E-3</v>
      </c>
      <c r="P15" s="9">
        <f t="shared" si="0"/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"/>
  <sheetViews>
    <sheetView zoomScaleNormal="100" workbookViewId="0"/>
  </sheetViews>
  <sheetFormatPr baseColWidth="10" defaultColWidth="10.5" defaultRowHeight="16" x14ac:dyDescent="0.2"/>
  <sheetData>
    <row r="1" spans="1:9" ht="15.75" customHeight="1" x14ac:dyDescent="0.2">
      <c r="A1" s="10" t="s">
        <v>0</v>
      </c>
      <c r="B1" s="11" t="s">
        <v>107</v>
      </c>
      <c r="C1" s="11" t="s">
        <v>108</v>
      </c>
      <c r="D1" s="11" t="s">
        <v>109</v>
      </c>
      <c r="E1" s="11" t="s">
        <v>110</v>
      </c>
      <c r="F1" s="11" t="s">
        <v>111</v>
      </c>
      <c r="G1" s="11" t="s">
        <v>112</v>
      </c>
      <c r="H1" s="11" t="s">
        <v>113</v>
      </c>
      <c r="I1" s="11" t="s">
        <v>114</v>
      </c>
    </row>
    <row r="2" spans="1:9" ht="15.75" customHeight="1" x14ac:dyDescent="0.2">
      <c r="A2" s="10" t="s">
        <v>2</v>
      </c>
      <c r="B2" s="12">
        <v>12.5</v>
      </c>
      <c r="C2" s="12">
        <v>2</v>
      </c>
      <c r="D2" s="12">
        <v>17</v>
      </c>
      <c r="E2" s="12">
        <v>4</v>
      </c>
      <c r="F2" s="12">
        <v>2</v>
      </c>
      <c r="G2" s="12">
        <v>8</v>
      </c>
      <c r="H2" s="12">
        <v>4</v>
      </c>
      <c r="I2" s="12">
        <v>9</v>
      </c>
    </row>
    <row r="3" spans="1:9" ht="15.75" customHeight="1" x14ac:dyDescent="0.2">
      <c r="A3" s="10" t="s">
        <v>5</v>
      </c>
      <c r="B3" s="12">
        <v>9.4</v>
      </c>
      <c r="C3" s="12">
        <v>1</v>
      </c>
      <c r="D3" s="12">
        <v>13</v>
      </c>
      <c r="E3" s="12">
        <v>4</v>
      </c>
      <c r="F3" s="12">
        <v>0</v>
      </c>
      <c r="G3" s="12">
        <v>8</v>
      </c>
      <c r="H3" s="12">
        <v>2</v>
      </c>
      <c r="I3" s="12">
        <v>6</v>
      </c>
    </row>
    <row r="4" spans="1:9" ht="15.75" customHeight="1" x14ac:dyDescent="0.2">
      <c r="A4" s="10" t="s">
        <v>7</v>
      </c>
      <c r="B4" s="12">
        <v>19.100000000000001</v>
      </c>
      <c r="C4" s="12">
        <v>2</v>
      </c>
      <c r="D4" s="12">
        <v>15</v>
      </c>
      <c r="E4" s="12">
        <v>6</v>
      </c>
      <c r="F4" s="12">
        <v>1</v>
      </c>
      <c r="G4" s="12">
        <v>13</v>
      </c>
      <c r="H4" s="12">
        <v>4</v>
      </c>
      <c r="I4" s="12">
        <v>8</v>
      </c>
    </row>
    <row r="5" spans="1:9" ht="15.75" customHeight="1" x14ac:dyDescent="0.2">
      <c r="A5" s="10" t="s">
        <v>79</v>
      </c>
      <c r="B5" s="12">
        <v>20.9</v>
      </c>
      <c r="C5" s="12">
        <v>2</v>
      </c>
      <c r="D5" s="12">
        <v>20</v>
      </c>
      <c r="E5" s="12">
        <v>2</v>
      </c>
      <c r="F5" s="12">
        <v>1</v>
      </c>
      <c r="G5" s="12">
        <v>6</v>
      </c>
      <c r="H5" s="12">
        <v>2</v>
      </c>
      <c r="I5" s="12">
        <v>14</v>
      </c>
    </row>
    <row r="6" spans="1:9" ht="15.75" customHeight="1" x14ac:dyDescent="0.2">
      <c r="A6" s="10" t="s">
        <v>12</v>
      </c>
      <c r="B6" s="12">
        <v>26.8</v>
      </c>
      <c r="C6" s="12">
        <v>2</v>
      </c>
      <c r="D6" s="12">
        <v>21</v>
      </c>
      <c r="E6" s="12">
        <v>3</v>
      </c>
      <c r="F6" s="12">
        <v>0</v>
      </c>
      <c r="G6" s="12">
        <v>7</v>
      </c>
      <c r="H6" s="12">
        <v>2</v>
      </c>
      <c r="I6" s="12">
        <v>10</v>
      </c>
    </row>
    <row r="7" spans="1:9" ht="15.75" customHeight="1" x14ac:dyDescent="0.2">
      <c r="A7" s="10" t="s">
        <v>10</v>
      </c>
      <c r="B7" s="12">
        <v>5.2</v>
      </c>
      <c r="C7" s="12">
        <v>1</v>
      </c>
      <c r="D7" s="12">
        <v>15</v>
      </c>
      <c r="E7" s="12">
        <v>4</v>
      </c>
      <c r="F7" s="12">
        <v>0</v>
      </c>
      <c r="G7" s="12">
        <v>6</v>
      </c>
      <c r="H7" s="12">
        <v>5</v>
      </c>
      <c r="I7" s="12">
        <v>6</v>
      </c>
    </row>
    <row r="8" spans="1:9" ht="15.75" customHeight="1" x14ac:dyDescent="0.2">
      <c r="A8" s="10" t="s">
        <v>19</v>
      </c>
      <c r="B8" s="12">
        <v>14.2</v>
      </c>
      <c r="C8" s="12">
        <v>2</v>
      </c>
      <c r="D8" s="12">
        <v>18</v>
      </c>
      <c r="E8" s="12">
        <v>3</v>
      </c>
      <c r="F8" s="12">
        <v>0</v>
      </c>
      <c r="G8" s="12">
        <v>6</v>
      </c>
      <c r="H8" s="12">
        <v>3</v>
      </c>
      <c r="I8" s="12">
        <v>9</v>
      </c>
    </row>
    <row r="9" spans="1:9" ht="15.75" customHeight="1" x14ac:dyDescent="0.2">
      <c r="A9" s="10" t="s">
        <v>23</v>
      </c>
      <c r="B9" s="12">
        <v>19</v>
      </c>
      <c r="C9" s="12">
        <v>2</v>
      </c>
      <c r="D9" s="12">
        <v>19</v>
      </c>
      <c r="E9" s="12">
        <v>3</v>
      </c>
      <c r="F9" s="12">
        <v>0</v>
      </c>
      <c r="G9" s="12">
        <v>5</v>
      </c>
      <c r="H9" s="12">
        <v>2</v>
      </c>
      <c r="I9" s="12">
        <v>9</v>
      </c>
    </row>
    <row r="10" spans="1:9" ht="15.75" customHeight="1" x14ac:dyDescent="0.2">
      <c r="A10" s="10" t="s">
        <v>31</v>
      </c>
      <c r="B10" s="12">
        <v>9.1</v>
      </c>
      <c r="C10" s="12">
        <v>2</v>
      </c>
      <c r="D10" s="12">
        <v>17</v>
      </c>
      <c r="E10" s="12">
        <v>3</v>
      </c>
      <c r="F10" s="12">
        <v>0</v>
      </c>
      <c r="G10" s="12">
        <v>4</v>
      </c>
      <c r="H10" s="12">
        <v>4</v>
      </c>
      <c r="I10" s="12">
        <v>7</v>
      </c>
    </row>
    <row r="11" spans="1:9" ht="15.75" customHeight="1" x14ac:dyDescent="0.2">
      <c r="A11" s="10" t="s">
        <v>14</v>
      </c>
      <c r="B11" s="12">
        <v>15.2</v>
      </c>
      <c r="C11" s="12">
        <v>2</v>
      </c>
      <c r="D11" s="12">
        <v>15</v>
      </c>
      <c r="E11" s="12">
        <v>7</v>
      </c>
      <c r="F11" s="12">
        <v>0</v>
      </c>
      <c r="G11" s="12">
        <v>7</v>
      </c>
      <c r="H11" s="12">
        <v>3</v>
      </c>
      <c r="I11" s="12">
        <v>9</v>
      </c>
    </row>
    <row r="12" spans="1:9" ht="15.75" customHeight="1" x14ac:dyDescent="0.2">
      <c r="A12" s="10" t="s">
        <v>38</v>
      </c>
      <c r="B12" s="12">
        <v>26</v>
      </c>
      <c r="C12" s="12">
        <v>2</v>
      </c>
      <c r="D12" s="12">
        <v>19</v>
      </c>
      <c r="E12" s="12">
        <v>3</v>
      </c>
      <c r="F12" s="12">
        <v>3</v>
      </c>
      <c r="G12" s="12">
        <v>6</v>
      </c>
      <c r="H12" s="12">
        <v>2</v>
      </c>
      <c r="I12" s="12">
        <v>16</v>
      </c>
    </row>
    <row r="13" spans="1:9" ht="15.75" customHeight="1" x14ac:dyDescent="0.2">
      <c r="A13" s="10" t="s">
        <v>17</v>
      </c>
      <c r="B13" s="12">
        <v>13.1</v>
      </c>
      <c r="C13" s="12">
        <v>2</v>
      </c>
      <c r="D13" s="12">
        <v>17</v>
      </c>
      <c r="E13" s="12">
        <v>4</v>
      </c>
      <c r="F13" s="12">
        <v>1</v>
      </c>
      <c r="G13" s="12">
        <v>5</v>
      </c>
      <c r="H13" s="12">
        <v>4</v>
      </c>
      <c r="I13" s="12">
        <v>11</v>
      </c>
    </row>
    <row r="14" spans="1:9" ht="15.75" customHeight="1" x14ac:dyDescent="0.2">
      <c r="A14" s="10" t="s">
        <v>42</v>
      </c>
      <c r="B14" s="12">
        <v>18</v>
      </c>
      <c r="C14" s="12">
        <v>2</v>
      </c>
      <c r="D14" s="12">
        <v>18</v>
      </c>
      <c r="E14" s="12">
        <v>3</v>
      </c>
      <c r="F14" s="12">
        <v>1</v>
      </c>
      <c r="G14" s="12">
        <v>6</v>
      </c>
      <c r="H14" s="12">
        <v>2</v>
      </c>
      <c r="I14" s="12">
        <v>12</v>
      </c>
    </row>
    <row r="15" spans="1:9" ht="15.75" customHeight="1" x14ac:dyDescent="0.2">
      <c r="A15" s="10" t="s">
        <v>53</v>
      </c>
      <c r="B15" s="12">
        <v>18.899999999999999</v>
      </c>
      <c r="C15" s="12">
        <v>2</v>
      </c>
      <c r="D15" s="12">
        <v>17</v>
      </c>
      <c r="E15" s="12">
        <v>4</v>
      </c>
      <c r="F15" s="12">
        <v>0</v>
      </c>
      <c r="G15" s="12">
        <v>5</v>
      </c>
      <c r="H15" s="12">
        <v>3</v>
      </c>
      <c r="I15" s="12">
        <v>9</v>
      </c>
    </row>
    <row r="16" spans="1:9" ht="15.75" customHeight="1" x14ac:dyDescent="0.2">
      <c r="A16" s="10" t="s">
        <v>60</v>
      </c>
      <c r="B16" s="12">
        <v>15.5</v>
      </c>
      <c r="C16" s="12">
        <v>2</v>
      </c>
      <c r="D16" s="12">
        <v>20</v>
      </c>
      <c r="E16" s="12">
        <v>3</v>
      </c>
      <c r="F16" s="12">
        <v>1</v>
      </c>
      <c r="G16" s="12">
        <v>7</v>
      </c>
      <c r="H16" s="12">
        <v>2</v>
      </c>
      <c r="I16" s="12">
        <v>14</v>
      </c>
    </row>
    <row r="17" spans="1:9" ht="15.75" customHeight="1" x14ac:dyDescent="0.2">
      <c r="A17" s="10" t="s">
        <v>68</v>
      </c>
      <c r="B17" s="12">
        <v>19.399999999999999</v>
      </c>
      <c r="C17" s="12">
        <v>2</v>
      </c>
      <c r="D17" s="12">
        <v>19</v>
      </c>
      <c r="E17" s="12">
        <v>3</v>
      </c>
      <c r="F17" s="12">
        <v>1</v>
      </c>
      <c r="G17" s="12">
        <v>7</v>
      </c>
      <c r="H17" s="12">
        <v>2</v>
      </c>
      <c r="I17" s="12">
        <v>14</v>
      </c>
    </row>
    <row r="18" spans="1:9" ht="15.75" customHeight="1" x14ac:dyDescent="0.2">
      <c r="A18" s="10" t="s">
        <v>75</v>
      </c>
      <c r="B18" s="12">
        <v>17.8</v>
      </c>
      <c r="C18" s="12">
        <v>2</v>
      </c>
      <c r="D18" s="12">
        <v>19</v>
      </c>
      <c r="E18" s="12">
        <v>3</v>
      </c>
      <c r="F18" s="12">
        <v>2</v>
      </c>
      <c r="G18" s="12">
        <v>6</v>
      </c>
      <c r="H18" s="12">
        <v>2</v>
      </c>
      <c r="I18" s="12">
        <v>14</v>
      </c>
    </row>
    <row r="19" spans="1:9" ht="15.75" customHeight="1" x14ac:dyDescent="0.2">
      <c r="A19" s="10" t="s">
        <v>29</v>
      </c>
      <c r="B19" s="12">
        <v>22.9</v>
      </c>
      <c r="C19" s="12">
        <v>2</v>
      </c>
      <c r="D19" s="12">
        <v>17</v>
      </c>
      <c r="E19" s="12">
        <v>4</v>
      </c>
      <c r="F19" s="12">
        <v>1</v>
      </c>
      <c r="G19" s="12">
        <v>6</v>
      </c>
      <c r="H19" s="12">
        <v>3</v>
      </c>
      <c r="I19" s="12">
        <v>9</v>
      </c>
    </row>
    <row r="20" spans="1:9" ht="15.75" customHeight="1" x14ac:dyDescent="0.2">
      <c r="A20" s="10" t="s">
        <v>33</v>
      </c>
      <c r="B20" s="12">
        <v>28.1</v>
      </c>
      <c r="C20" s="12">
        <v>2</v>
      </c>
      <c r="D20" s="12">
        <v>26</v>
      </c>
      <c r="E20" s="12">
        <v>3</v>
      </c>
      <c r="F20" s="12">
        <v>1</v>
      </c>
      <c r="G20" s="12">
        <v>6</v>
      </c>
      <c r="H20" s="12">
        <v>3</v>
      </c>
      <c r="I20" s="12">
        <v>12</v>
      </c>
    </row>
    <row r="21" spans="1:9" ht="15.75" customHeight="1" x14ac:dyDescent="0.2">
      <c r="A21" s="10" t="s">
        <v>62</v>
      </c>
      <c r="B21" s="12">
        <v>23.1</v>
      </c>
      <c r="C21" s="12">
        <v>2</v>
      </c>
      <c r="D21" s="12">
        <v>21</v>
      </c>
      <c r="E21" s="12">
        <v>3</v>
      </c>
      <c r="F21" s="12">
        <v>1</v>
      </c>
      <c r="G21" s="12">
        <v>4</v>
      </c>
      <c r="H21" s="12">
        <v>7</v>
      </c>
      <c r="I21" s="12">
        <v>12</v>
      </c>
    </row>
    <row r="22" spans="1:9" ht="15.75" customHeight="1" x14ac:dyDescent="0.2">
      <c r="A22" s="10" t="s">
        <v>36</v>
      </c>
      <c r="B22" s="12">
        <v>20.2</v>
      </c>
      <c r="C22" s="12">
        <v>2</v>
      </c>
      <c r="D22" s="12">
        <v>18</v>
      </c>
      <c r="E22" s="12">
        <v>4</v>
      </c>
      <c r="F22" s="12">
        <v>1</v>
      </c>
      <c r="G22" s="12">
        <v>6</v>
      </c>
      <c r="H22" s="12">
        <v>4</v>
      </c>
      <c r="I22" s="12">
        <v>10</v>
      </c>
    </row>
    <row r="23" spans="1:9" ht="15.75" customHeight="1" x14ac:dyDescent="0.2">
      <c r="A23" s="10" t="s">
        <v>40</v>
      </c>
      <c r="B23" s="12">
        <v>15.1</v>
      </c>
      <c r="C23" s="12">
        <v>2</v>
      </c>
      <c r="D23" s="12">
        <v>14</v>
      </c>
      <c r="E23" s="12">
        <v>8</v>
      </c>
      <c r="F23" s="12">
        <v>0</v>
      </c>
      <c r="G23" s="12">
        <v>9</v>
      </c>
      <c r="H23" s="12">
        <v>3</v>
      </c>
      <c r="I23" s="12">
        <v>7</v>
      </c>
    </row>
    <row r="24" spans="1:9" ht="15.75" customHeight="1" x14ac:dyDescent="0.2">
      <c r="A24" s="10" t="s">
        <v>44</v>
      </c>
      <c r="B24" s="12">
        <v>27.8</v>
      </c>
      <c r="C24" s="12">
        <v>2</v>
      </c>
      <c r="D24" s="12">
        <v>18</v>
      </c>
      <c r="E24" s="12">
        <v>3</v>
      </c>
      <c r="F24" s="12">
        <v>2</v>
      </c>
      <c r="G24" s="12">
        <v>6</v>
      </c>
      <c r="H24" s="12">
        <v>3</v>
      </c>
      <c r="I24" s="12">
        <v>11</v>
      </c>
    </row>
    <row r="25" spans="1:9" ht="15.75" customHeight="1" x14ac:dyDescent="0.2">
      <c r="A25" s="10" t="s">
        <v>71</v>
      </c>
      <c r="B25" s="12">
        <v>7.8</v>
      </c>
      <c r="C25" s="12">
        <v>2</v>
      </c>
      <c r="D25" s="12">
        <v>18</v>
      </c>
      <c r="E25" s="12">
        <v>4</v>
      </c>
      <c r="F25" s="12">
        <v>1</v>
      </c>
      <c r="G25" s="12">
        <v>4</v>
      </c>
      <c r="H25" s="12">
        <v>3</v>
      </c>
      <c r="I25" s="12">
        <v>9</v>
      </c>
    </row>
    <row r="26" spans="1:9" ht="15.75" customHeight="1" x14ac:dyDescent="0.2">
      <c r="A26" s="10" t="s">
        <v>73</v>
      </c>
      <c r="B26" s="12">
        <v>9.9</v>
      </c>
      <c r="C26" s="12">
        <v>2</v>
      </c>
      <c r="D26" s="12">
        <v>14</v>
      </c>
      <c r="E26" s="12">
        <v>3</v>
      </c>
      <c r="F26" s="12">
        <v>0</v>
      </c>
      <c r="G26" s="12">
        <v>4</v>
      </c>
      <c r="H26" s="12">
        <v>5</v>
      </c>
      <c r="I26" s="12">
        <v>7</v>
      </c>
    </row>
    <row r="27" spans="1:9" ht="15.75" customHeight="1" x14ac:dyDescent="0.2">
      <c r="A27" s="10" t="s">
        <v>77</v>
      </c>
      <c r="B27" s="12">
        <v>17</v>
      </c>
      <c r="C27" s="12">
        <v>2</v>
      </c>
      <c r="D27" s="12">
        <v>18</v>
      </c>
      <c r="E27" s="12">
        <v>3</v>
      </c>
      <c r="F27" s="12">
        <v>0</v>
      </c>
      <c r="G27" s="12">
        <v>6</v>
      </c>
      <c r="H27" s="12">
        <v>3</v>
      </c>
      <c r="I27" s="12">
        <v>11</v>
      </c>
    </row>
    <row r="28" spans="1:9" ht="15.75" customHeight="1" x14ac:dyDescent="0.2">
      <c r="A28" s="10" t="s">
        <v>27</v>
      </c>
      <c r="B28" s="12">
        <v>32.799999999999997</v>
      </c>
      <c r="C28" s="12">
        <v>2</v>
      </c>
      <c r="D28" s="12">
        <v>24</v>
      </c>
      <c r="E28" s="12">
        <v>4</v>
      </c>
      <c r="F28" s="12">
        <v>0</v>
      </c>
      <c r="G28" s="12">
        <v>9</v>
      </c>
      <c r="H28" s="12">
        <v>3</v>
      </c>
      <c r="I28" s="12">
        <v>13</v>
      </c>
    </row>
    <row r="29" spans="1:9" ht="15.75" customHeight="1" x14ac:dyDescent="0.2">
      <c r="A29" s="10" t="s">
        <v>81</v>
      </c>
      <c r="B29" s="12">
        <v>34</v>
      </c>
      <c r="C29" s="12">
        <v>2</v>
      </c>
      <c r="D29" s="12">
        <v>29</v>
      </c>
      <c r="E29" s="12">
        <v>1</v>
      </c>
      <c r="F29" s="12">
        <v>1</v>
      </c>
      <c r="G29" s="12">
        <v>4</v>
      </c>
      <c r="H29" s="12">
        <v>5</v>
      </c>
      <c r="I29" s="12">
        <v>15</v>
      </c>
    </row>
    <row r="30" spans="1:9" ht="15.75" customHeight="1" x14ac:dyDescent="0.2">
      <c r="A30" s="10" t="s">
        <v>47</v>
      </c>
      <c r="B30" s="12">
        <v>18.600000000000001</v>
      </c>
      <c r="C30" s="12">
        <v>2</v>
      </c>
      <c r="D30" s="12">
        <v>17</v>
      </c>
      <c r="E30" s="12">
        <v>27</v>
      </c>
      <c r="F30" s="12">
        <v>1</v>
      </c>
      <c r="G30" s="12">
        <v>5</v>
      </c>
      <c r="H30" s="12">
        <v>3</v>
      </c>
      <c r="I30" s="12">
        <v>12</v>
      </c>
    </row>
    <row r="31" spans="1:9" ht="15.75" customHeight="1" x14ac:dyDescent="0.2">
      <c r="A31" s="10" t="s">
        <v>51</v>
      </c>
      <c r="B31" s="12">
        <v>18.2</v>
      </c>
      <c r="C31" s="12">
        <v>2</v>
      </c>
      <c r="D31" s="12">
        <v>14</v>
      </c>
      <c r="E31" s="12">
        <v>7</v>
      </c>
      <c r="F31" s="12">
        <v>0</v>
      </c>
      <c r="G31" s="12">
        <v>8</v>
      </c>
      <c r="H31" s="12">
        <v>3</v>
      </c>
      <c r="I31" s="12">
        <v>8</v>
      </c>
    </row>
    <row r="32" spans="1:9" ht="15.75" customHeight="1" x14ac:dyDescent="0.2">
      <c r="A32" s="10" t="s">
        <v>87</v>
      </c>
      <c r="B32" s="12">
        <v>14.1</v>
      </c>
      <c r="C32" s="12">
        <v>2</v>
      </c>
      <c r="D32" s="12">
        <v>17</v>
      </c>
      <c r="E32" s="12">
        <v>6</v>
      </c>
      <c r="F32" s="12">
        <v>0</v>
      </c>
      <c r="G32" s="12">
        <v>6</v>
      </c>
      <c r="H32" s="12">
        <v>2</v>
      </c>
      <c r="I32" s="12">
        <v>10</v>
      </c>
    </row>
    <row r="33" spans="1:9" ht="15.75" customHeight="1" x14ac:dyDescent="0.2">
      <c r="A33" s="10" t="s">
        <v>89</v>
      </c>
      <c r="B33" s="12">
        <v>13.9</v>
      </c>
      <c r="C33" s="12">
        <v>2</v>
      </c>
      <c r="D33" s="12">
        <v>17</v>
      </c>
      <c r="E33" s="12">
        <v>3</v>
      </c>
      <c r="F33" s="12">
        <v>0</v>
      </c>
      <c r="G33" s="12">
        <v>8</v>
      </c>
      <c r="H33" s="12">
        <v>1</v>
      </c>
      <c r="I33" s="12">
        <v>9</v>
      </c>
    </row>
    <row r="34" spans="1:9" ht="15.75" customHeight="1" x14ac:dyDescent="0.2">
      <c r="A34" s="10" t="s">
        <v>83</v>
      </c>
      <c r="B34" s="12">
        <v>24</v>
      </c>
      <c r="C34" s="12">
        <v>2</v>
      </c>
      <c r="D34" s="12">
        <v>15</v>
      </c>
      <c r="E34" s="12">
        <v>4</v>
      </c>
      <c r="F34" s="12">
        <v>0</v>
      </c>
      <c r="G34" s="12">
        <v>10</v>
      </c>
      <c r="H34" s="12">
        <v>3</v>
      </c>
      <c r="I34" s="12">
        <v>9</v>
      </c>
    </row>
    <row r="35" spans="1:9" ht="15.75" customHeight="1" x14ac:dyDescent="0.2">
      <c r="A35" s="10" t="s">
        <v>66</v>
      </c>
      <c r="B35" s="12">
        <v>6.4</v>
      </c>
      <c r="C35" s="12">
        <v>2</v>
      </c>
      <c r="D35" s="12">
        <v>18</v>
      </c>
      <c r="E35" s="12">
        <v>3</v>
      </c>
      <c r="F35" s="12">
        <v>0</v>
      </c>
      <c r="G35" s="12">
        <v>3</v>
      </c>
      <c r="H35" s="12">
        <v>0</v>
      </c>
      <c r="I35" s="12">
        <v>7</v>
      </c>
    </row>
    <row r="36" spans="1:9" ht="15.75" customHeight="1" x14ac:dyDescent="0.2">
      <c r="A36" s="10" t="s">
        <v>49</v>
      </c>
      <c r="B36" s="12">
        <v>30.8</v>
      </c>
      <c r="C36" s="12">
        <v>2</v>
      </c>
      <c r="D36" s="12">
        <v>23</v>
      </c>
      <c r="E36" s="12">
        <v>3</v>
      </c>
      <c r="F36" s="12">
        <v>1</v>
      </c>
      <c r="G36" s="12">
        <v>6</v>
      </c>
      <c r="H36" s="12">
        <v>4</v>
      </c>
      <c r="I36" s="12">
        <v>13</v>
      </c>
    </row>
    <row r="37" spans="1:9" ht="15.75" customHeight="1" x14ac:dyDescent="0.2">
      <c r="A37" s="10" t="s">
        <v>21</v>
      </c>
      <c r="B37" s="12">
        <v>18.399999999999999</v>
      </c>
      <c r="C37" s="12">
        <v>2</v>
      </c>
      <c r="D37" s="12">
        <v>15</v>
      </c>
      <c r="E37" s="12">
        <v>8</v>
      </c>
      <c r="F37" s="12">
        <v>0</v>
      </c>
      <c r="G37" s="12">
        <v>11</v>
      </c>
      <c r="H37" s="12">
        <v>4</v>
      </c>
      <c r="I37" s="12">
        <v>8</v>
      </c>
    </row>
    <row r="38" spans="1:9" ht="15.75" customHeight="1" x14ac:dyDescent="0.2">
      <c r="A38" s="10" t="s">
        <v>25</v>
      </c>
      <c r="B38" s="12">
        <v>19</v>
      </c>
      <c r="C38" s="12">
        <v>2</v>
      </c>
      <c r="D38" s="12">
        <v>14</v>
      </c>
      <c r="E38" s="12">
        <v>8</v>
      </c>
      <c r="F38" s="12">
        <v>0</v>
      </c>
      <c r="G38" s="12">
        <v>13</v>
      </c>
      <c r="H38" s="12">
        <v>3</v>
      </c>
      <c r="I38" s="12">
        <v>7</v>
      </c>
    </row>
    <row r="40" spans="1:9" ht="15.75" customHeight="1" x14ac:dyDescent="0.2">
      <c r="A40" s="1" t="s">
        <v>115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IT-ERD Spend Estimate</vt:lpstr>
      <vt:lpstr>ERD Spend Split</vt:lpstr>
      <vt:lpstr>Emerging Tech 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Vibhor</dc:creator>
  <dc:description/>
  <cp:lastModifiedBy>Vibhor</cp:lastModifiedBy>
  <cp:revision>0</cp:revision>
  <dcterms:created xsi:type="dcterms:W3CDTF">2026-06-12T04:41:40Z</dcterms:created>
  <dcterms:modified xsi:type="dcterms:W3CDTF">2026-06-13T16:43:23Z</dcterms:modified>
  <dc:language>en-US</dc:language>
</cp:coreProperties>
</file>